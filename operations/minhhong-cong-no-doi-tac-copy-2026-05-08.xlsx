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E:\LAPTRINH\2026\minhhong-next-app-upgrades\operations\"/>
    </mc:Choice>
  </mc:AlternateContent>
  <xr:revisionPtr revIDLastSave="0" documentId="13_ncr:1_{C58E50AC-D99D-4CF7-B037-94A0E39D1D84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Hướng dẫn" sheetId="1" r:id="rId1"/>
    <sheet name="Tổng quan" sheetId="2" r:id="rId2"/>
    <sheet name="Công nợ đối tác" sheetId="3" r:id="rId3"/>
    <sheet name="Nhập hàng" sheetId="4" r:id="rId4"/>
    <sheet name="Thanh toán" sheetId="5" r:id="rId5"/>
    <sheet name="Trả hàng" sheetId="6" r:id="rId6"/>
    <sheet name="Đơn khách" sheetId="7" r:id="rId7"/>
    <sheet name="Đối tác" sheetId="8" r:id="rId8"/>
    <sheet name="Cảnh báo dữ liệu" sheetId="9" r:id="rId9"/>
    <sheet name="Sheet1" sheetId="10" r:id="rId10"/>
    <sheet name="Tiền chuyển cho long" sheetId="11" r:id="rId11"/>
    <sheet name="Đơn trả lại" sheetId="12" r:id="rId12"/>
    <sheet name="Đơn hàng đã bán" sheetId="13" r:id="rId13"/>
  </sheets>
  <definedNames>
    <definedName name="_xlnm._FilterDatabase" localSheetId="8" hidden="1">'Cảnh báo dữ liệu'!$A$1:$C$1</definedName>
    <definedName name="_xlnm._FilterDatabase" localSheetId="2" hidden="1">'Công nợ đối tác'!$A$1:$G$1</definedName>
    <definedName name="_xlnm._FilterDatabase" localSheetId="7" hidden="1">'Đối tác'!$A$1:$D$1</definedName>
    <definedName name="_xlnm._FilterDatabase" localSheetId="6" hidden="1">'Đơn khách'!$A$1:$J$1</definedName>
    <definedName name="_xlnm._FilterDatabase" localSheetId="3" hidden="1">'Nhập hàng'!$A$1:$M$1</definedName>
    <definedName name="_xlnm._FilterDatabase" localSheetId="4" hidden="1">'Thanh toán'!$A$1:$F$1</definedName>
    <definedName name="_xlnm._FilterDatabase" localSheetId="5" hidden="1">'Trả hàng'!$A$1:$J$1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1" i="13" l="1"/>
  <c r="F50" i="13"/>
  <c r="F49" i="13"/>
  <c r="F48" i="13"/>
  <c r="F47" i="13"/>
  <c r="F46" i="13"/>
  <c r="F45" i="13"/>
  <c r="F44" i="13"/>
  <c r="F43" i="13"/>
  <c r="F42" i="13"/>
  <c r="F41" i="13"/>
  <c r="F40" i="13"/>
  <c r="F39" i="13"/>
  <c r="F38" i="13"/>
  <c r="F37" i="13"/>
  <c r="F36" i="13"/>
  <c r="F35" i="13"/>
  <c r="F34" i="13"/>
  <c r="F33" i="13"/>
  <c r="F32" i="13"/>
  <c r="F31" i="13"/>
  <c r="F30" i="13"/>
  <c r="F29" i="13"/>
  <c r="F28" i="13"/>
  <c r="F27" i="13"/>
  <c r="F25" i="13"/>
  <c r="F24" i="13"/>
  <c r="F23" i="13"/>
  <c r="F22" i="13"/>
  <c r="F21" i="13"/>
  <c r="F20" i="13"/>
  <c r="F19" i="13"/>
  <c r="F18" i="13"/>
  <c r="F17" i="13"/>
  <c r="F16" i="13"/>
  <c r="F15" i="13"/>
  <c r="F14" i="13"/>
  <c r="F13" i="13"/>
  <c r="F12" i="13"/>
  <c r="F11" i="13"/>
  <c r="F9" i="13"/>
  <c r="F8" i="13"/>
  <c r="F7" i="13"/>
  <c r="F6" i="13"/>
  <c r="F5" i="13"/>
  <c r="K4" i="13"/>
  <c r="F4" i="13"/>
  <c r="K3" i="13"/>
  <c r="G38" i="10"/>
  <c r="G37" i="10"/>
  <c r="G36" i="10"/>
  <c r="G35" i="10"/>
  <c r="G34" i="10"/>
  <c r="G33" i="10"/>
  <c r="G32" i="10"/>
  <c r="G31" i="10"/>
  <c r="H139" i="7"/>
  <c r="H138" i="7"/>
  <c r="H137" i="7"/>
  <c r="H136" i="7"/>
  <c r="H135" i="7"/>
  <c r="H134" i="7"/>
  <c r="H133" i="7"/>
  <c r="H132" i="7"/>
  <c r="H131" i="7"/>
  <c r="H130" i="7"/>
  <c r="H129" i="7"/>
  <c r="H128" i="7"/>
  <c r="H127" i="7"/>
  <c r="H126" i="7"/>
  <c r="H125" i="7"/>
  <c r="H124" i="7"/>
  <c r="H123" i="7"/>
  <c r="H122" i="7"/>
  <c r="H121" i="7"/>
  <c r="H120" i="7"/>
  <c r="H119" i="7"/>
  <c r="H118" i="7"/>
  <c r="H117" i="7"/>
  <c r="H116" i="7"/>
  <c r="H115" i="7"/>
  <c r="H114" i="7"/>
  <c r="H113" i="7"/>
  <c r="H112" i="7"/>
  <c r="H111" i="7"/>
  <c r="H110" i="7"/>
  <c r="H109" i="7"/>
  <c r="H108" i="7"/>
  <c r="H107" i="7"/>
  <c r="H106" i="7"/>
  <c r="H105" i="7"/>
  <c r="H104" i="7"/>
  <c r="H103" i="7"/>
  <c r="H102" i="7"/>
  <c r="H101" i="7"/>
  <c r="H100" i="7"/>
  <c r="H99" i="7"/>
  <c r="H98" i="7"/>
  <c r="H97" i="7"/>
  <c r="H96" i="7"/>
  <c r="H95" i="7"/>
  <c r="H94" i="7"/>
  <c r="H93" i="7"/>
  <c r="H92" i="7"/>
  <c r="H91" i="7"/>
  <c r="H90" i="7"/>
  <c r="H89" i="7"/>
  <c r="H88" i="7"/>
  <c r="H87" i="7"/>
  <c r="H86" i="7"/>
  <c r="H85" i="7"/>
  <c r="H84" i="7"/>
  <c r="H83" i="7"/>
  <c r="H82" i="7"/>
  <c r="H81" i="7"/>
  <c r="H80" i="7"/>
  <c r="H79" i="7"/>
  <c r="H78" i="7"/>
  <c r="H77" i="7"/>
  <c r="H76" i="7"/>
  <c r="H75" i="7"/>
  <c r="H74" i="7"/>
  <c r="H73" i="7"/>
  <c r="H72" i="7"/>
  <c r="H71" i="7"/>
  <c r="H70" i="7"/>
  <c r="H69" i="7"/>
  <c r="H68" i="7"/>
  <c r="H67" i="7"/>
  <c r="H66" i="7"/>
  <c r="H65" i="7"/>
  <c r="H64" i="7"/>
  <c r="H63" i="7"/>
  <c r="H62" i="7"/>
  <c r="H61" i="7"/>
  <c r="H60" i="7"/>
  <c r="H59" i="7"/>
  <c r="H58" i="7"/>
  <c r="H57" i="7"/>
  <c r="H56" i="7"/>
  <c r="H55" i="7"/>
  <c r="H54" i="7"/>
  <c r="H53" i="7"/>
  <c r="H52" i="7"/>
  <c r="H51" i="7"/>
  <c r="H50" i="7"/>
  <c r="H49" i="7"/>
  <c r="H48" i="7"/>
  <c r="H47" i="7"/>
  <c r="H46" i="7"/>
  <c r="H45" i="7"/>
  <c r="H44" i="7"/>
  <c r="H43" i="7"/>
  <c r="H42" i="7"/>
  <c r="H41" i="7"/>
  <c r="H40" i="7"/>
  <c r="H39" i="7"/>
  <c r="H38" i="7"/>
  <c r="H37" i="7"/>
  <c r="H36" i="7"/>
  <c r="H35" i="7"/>
  <c r="H34" i="7"/>
  <c r="H33" i="7"/>
  <c r="H32" i="7"/>
  <c r="H31" i="7"/>
  <c r="H30" i="7"/>
  <c r="H29" i="7"/>
  <c r="H28" i="7"/>
  <c r="H27" i="7"/>
  <c r="H26" i="7"/>
  <c r="H25" i="7"/>
  <c r="H24" i="7"/>
  <c r="H23" i="7"/>
  <c r="H22" i="7"/>
  <c r="H21" i="7"/>
  <c r="H20" i="7"/>
  <c r="H19" i="7"/>
  <c r="H18" i="7"/>
  <c r="H17" i="7"/>
  <c r="H16" i="7"/>
  <c r="H15" i="7"/>
  <c r="H14" i="7"/>
  <c r="H13" i="7"/>
  <c r="H12" i="7"/>
  <c r="H11" i="7"/>
  <c r="H10" i="7"/>
  <c r="H9" i="7"/>
  <c r="H8" i="7"/>
  <c r="H7" i="7"/>
  <c r="H6" i="7"/>
  <c r="H5" i="7"/>
  <c r="H4" i="7"/>
  <c r="H3" i="7"/>
  <c r="H2" i="7"/>
  <c r="H79" i="6"/>
  <c r="H78" i="6"/>
  <c r="H77" i="6"/>
  <c r="H76" i="6"/>
  <c r="H75" i="6"/>
  <c r="H74" i="6"/>
  <c r="H73" i="6"/>
  <c r="H72" i="6"/>
  <c r="H71" i="6"/>
  <c r="H70" i="6"/>
  <c r="H69" i="6"/>
  <c r="H68" i="6"/>
  <c r="H67" i="6"/>
  <c r="H66" i="6"/>
  <c r="H65" i="6"/>
  <c r="H64" i="6"/>
  <c r="H63" i="6"/>
  <c r="H62" i="6"/>
  <c r="H61" i="6"/>
  <c r="H60" i="6"/>
  <c r="H59" i="6"/>
  <c r="H58" i="6"/>
  <c r="H57" i="6"/>
  <c r="H56" i="6"/>
  <c r="H55" i="6"/>
  <c r="H54" i="6"/>
  <c r="H53" i="6"/>
  <c r="H52" i="6"/>
  <c r="H51" i="6"/>
  <c r="H50" i="6"/>
  <c r="H49" i="6"/>
  <c r="H48" i="6"/>
  <c r="H47" i="6"/>
  <c r="H46" i="6"/>
  <c r="H45" i="6"/>
  <c r="H44" i="6"/>
  <c r="H43" i="6"/>
  <c r="H42" i="6"/>
  <c r="H41" i="6"/>
  <c r="H40" i="6"/>
  <c r="H39" i="6"/>
  <c r="H38" i="6"/>
  <c r="H37" i="6"/>
  <c r="H36" i="6"/>
  <c r="H35" i="6"/>
  <c r="H34" i="6"/>
  <c r="H33" i="6"/>
  <c r="H32" i="6"/>
  <c r="H31" i="6"/>
  <c r="H30" i="6"/>
  <c r="H29" i="6"/>
  <c r="H28" i="6"/>
  <c r="H27" i="6"/>
  <c r="H26" i="6"/>
  <c r="H25" i="6"/>
  <c r="H24" i="6"/>
  <c r="H23" i="6"/>
  <c r="H22" i="6"/>
  <c r="H21" i="6"/>
  <c r="H20" i="6"/>
  <c r="H19" i="6"/>
  <c r="H18" i="6"/>
  <c r="H17" i="6"/>
  <c r="H16" i="6"/>
  <c r="H15" i="6"/>
  <c r="H14" i="6"/>
  <c r="H13" i="6"/>
  <c r="H12" i="6"/>
  <c r="H11" i="6"/>
  <c r="H10" i="6"/>
  <c r="H9" i="6"/>
  <c r="H8" i="6"/>
  <c r="H7" i="6"/>
  <c r="H6" i="6"/>
  <c r="J138" i="4"/>
  <c r="J137" i="4"/>
  <c r="J136" i="4"/>
  <c r="J135" i="4"/>
  <c r="J134" i="4"/>
  <c r="J133" i="4"/>
  <c r="J132" i="4"/>
  <c r="J131" i="4"/>
  <c r="J130" i="4"/>
  <c r="J129" i="4"/>
  <c r="J128" i="4"/>
  <c r="J127" i="4"/>
  <c r="J126" i="4"/>
  <c r="J125" i="4"/>
  <c r="J124" i="4"/>
  <c r="J123" i="4"/>
  <c r="J122" i="4"/>
  <c r="J121" i="4"/>
  <c r="J120" i="4"/>
  <c r="J119" i="4"/>
  <c r="J118" i="4"/>
  <c r="J117" i="4"/>
  <c r="J116" i="4"/>
  <c r="J115" i="4"/>
  <c r="J114" i="4"/>
  <c r="J113" i="4"/>
  <c r="J112" i="4"/>
  <c r="J111" i="4"/>
  <c r="J110" i="4"/>
  <c r="J109" i="4"/>
  <c r="J108" i="4"/>
  <c r="J107" i="4"/>
  <c r="J106" i="4"/>
  <c r="J105" i="4"/>
  <c r="J104" i="4"/>
  <c r="J103" i="4"/>
  <c r="J102" i="4"/>
  <c r="J101" i="4"/>
  <c r="J100" i="4"/>
  <c r="J99" i="4"/>
  <c r="J98" i="4"/>
  <c r="J97" i="4"/>
  <c r="J96" i="4"/>
  <c r="J95" i="4"/>
  <c r="J94" i="4"/>
  <c r="J93" i="4"/>
  <c r="J92" i="4"/>
  <c r="J91" i="4"/>
  <c r="J90" i="4"/>
  <c r="J89" i="4"/>
  <c r="J88" i="4"/>
  <c r="J87" i="4"/>
  <c r="J86" i="4"/>
  <c r="J85" i="4"/>
  <c r="J84" i="4"/>
  <c r="J83" i="4"/>
  <c r="J82" i="4"/>
  <c r="J81" i="4"/>
  <c r="J80" i="4"/>
  <c r="J79" i="4"/>
  <c r="D11" i="3"/>
  <c r="C11" i="3"/>
  <c r="B11" i="3"/>
  <c r="D10" i="3"/>
  <c r="C10" i="3"/>
  <c r="B10" i="3"/>
  <c r="D9" i="3"/>
  <c r="C9" i="3"/>
  <c r="B9" i="3"/>
  <c r="D8" i="3"/>
  <c r="C8" i="3"/>
  <c r="B8" i="3"/>
  <c r="D7" i="3"/>
  <c r="C7" i="3"/>
  <c r="B7" i="3"/>
  <c r="D6" i="3"/>
  <c r="C6" i="3"/>
  <c r="B6" i="3"/>
  <c r="D5" i="3"/>
  <c r="C5" i="3"/>
  <c r="B5" i="3"/>
  <c r="D4" i="3"/>
  <c r="C4" i="3"/>
  <c r="B4" i="3"/>
  <c r="D3" i="3"/>
  <c r="C3" i="3"/>
  <c r="B3" i="3"/>
  <c r="C2" i="3"/>
  <c r="B8" i="2"/>
  <c r="B7" i="2"/>
  <c r="B2" i="3" l="1"/>
  <c r="B13" i="3" s="1"/>
  <c r="B3" i="2" s="1"/>
  <c r="E7" i="3"/>
  <c r="F7" i="3" s="1"/>
  <c r="D2" i="3"/>
  <c r="E2" i="3" s="1"/>
  <c r="E13" i="3" s="1"/>
  <c r="B6" i="2" s="1"/>
  <c r="B9" i="2"/>
  <c r="E10" i="3"/>
  <c r="F10" i="3" s="1"/>
  <c r="E11" i="3"/>
  <c r="F11" i="3" s="1"/>
  <c r="E6" i="3"/>
  <c r="F6" i="3" s="1"/>
  <c r="E3" i="3"/>
  <c r="F3" i="3" s="1"/>
  <c r="G44" i="10"/>
  <c r="C13" i="3"/>
  <c r="B4" i="2" s="1"/>
  <c r="E4" i="3"/>
  <c r="F4" i="3" s="1"/>
  <c r="E5" i="3"/>
  <c r="F5" i="3" s="1"/>
  <c r="E8" i="3"/>
  <c r="F8" i="3" s="1"/>
  <c r="K5" i="13"/>
  <c r="E9" i="3"/>
  <c r="F9" i="3" s="1"/>
  <c r="D13" i="3" l="1"/>
  <c r="B5" i="2" s="1"/>
  <c r="F2" i="3"/>
</calcChain>
</file>

<file path=xl/sharedStrings.xml><?xml version="1.0" encoding="utf-8"?>
<sst xmlns="http://schemas.openxmlformats.org/spreadsheetml/2006/main" count="1707" uniqueCount="896">
  <si>
    <t>Hướng dẫn dùng bản copy</t>
  </si>
  <si>
    <t>Không sửa sheet gốc</t>
  </si>
  <si>
    <t>File này được tạo từ bản export của Google Sheet gốc và không ghi đè dữ liệu gốc.</t>
  </si>
  <si>
    <t>Khi lấy hàng</t>
  </si>
  <si>
    <t>Nhập một dòng trong tab Nhập hàng, chọn Đối tác công nợ, nhập số lượng/đơn giá hoặc nhập trực tiếp Thành tiền.</t>
  </si>
  <si>
    <t>Khi thanh toán</t>
  </si>
  <si>
    <t>Nhập một dòng trong tab Thanh toán. Công nợ ở tab Công nợ đối tác sẽ tự giảm.</t>
  </si>
  <si>
    <t>Khi trả hàng</t>
  </si>
  <si>
    <t>Nhập một dòng trong tab Trả hàng. Công nợ đối tác cũng tự giảm theo giá trị hàng trả.</t>
  </si>
  <si>
    <t>Thêm đối tác mới</t>
  </si>
  <si>
    <t>Thêm tên vào tab Đối tác, rồi chọn tên đó ở Nhập hàng/Thanh toán/Trả hàng.</t>
  </si>
  <si>
    <t>Đơn khách</t>
  </si>
  <si>
    <t>Tab Đơn khách là bản sạch từ tab Đơn hàng đã bán để chuẩn bị import hoặc đối chiếu web.</t>
  </si>
  <si>
    <t>Tổng quan công nợ và đơn khách</t>
  </si>
  <si>
    <t>Tổng giá trị hàng lấy</t>
  </si>
  <si>
    <t>Tổng đã thanh toán đối tác</t>
  </si>
  <si>
    <t>Tổng hàng trả lại</t>
  </si>
  <si>
    <t>Công nợ đối tác hiện tại</t>
  </si>
  <si>
    <t>Tổng tiền đơn khách</t>
  </si>
  <si>
    <t>Đã thu từ khách</t>
  </si>
  <si>
    <t>Khách còn nợ</t>
  </si>
  <si>
    <t>Cách hiểu công nợ</t>
  </si>
  <si>
    <t>Công nợ đối tác = Giá trị hàng lấy - Đã thanh toán - Hàng trả lại. Số dương là Minh Hồng còn phải trả; số âm là đã chuyển dư/tạm ứng.</t>
  </si>
  <si>
    <t>Đối tác</t>
  </si>
  <si>
    <t>Giá trị hàng lấy</t>
  </si>
  <si>
    <t>Đã thanh toán</t>
  </si>
  <si>
    <t>Hàng trả lại</t>
  </si>
  <si>
    <t>Công nợ còn phải trả</t>
  </si>
  <si>
    <t>Trạng thái</t>
  </si>
  <si>
    <t>Ghi chú</t>
  </si>
  <si>
    <t>Long</t>
  </si>
  <si>
    <t>Shopee</t>
  </si>
  <si>
    <t>Trần Viết Cường</t>
  </si>
  <si>
    <t>a Tâm</t>
  </si>
  <si>
    <t>Điện tử Lào Cai</t>
  </si>
  <si>
    <t>Dương Mạnh Ninh</t>
  </si>
  <si>
    <t>Nguyễn Thành</t>
  </si>
  <si>
    <t>Hiếu LK</t>
  </si>
  <si>
    <t>Tuấn Mạnh AZ</t>
  </si>
  <si>
    <t>Khác</t>
  </si>
  <si>
    <t>Tổng cộng</t>
  </si>
  <si>
    <t>Mã nhập</t>
  </si>
  <si>
    <t>Ngày nhập</t>
  </si>
  <si>
    <t>Đối tác công nợ</t>
  </si>
  <si>
    <t>Người bán/nguồn gốc</t>
  </si>
  <si>
    <t>Tên hàng</t>
  </si>
  <si>
    <t>Loại</t>
  </si>
  <si>
    <t>Số lượng</t>
  </si>
  <si>
    <t>Đơn vị</t>
  </si>
  <si>
    <t>Đơn giá</t>
  </si>
  <si>
    <t>Thành tiền</t>
  </si>
  <si>
    <t>Đã nhận hàng</t>
  </si>
  <si>
    <t>Dòng gốc</t>
  </si>
  <si>
    <t>NH-0001</t>
  </si>
  <si>
    <t>40 Khay cân 21700</t>
  </si>
  <si>
    <t>Vật tư/đồ nghề</t>
  </si>
  <si>
    <t>Có</t>
  </si>
  <si>
    <t>SHOPEE (xem trong nhóm)</t>
  </si>
  <si>
    <t>Sheet1!A4:J4</t>
  </si>
  <si>
    <t>NH-0002</t>
  </si>
  <si>
    <t>50 Vôn kế bảng sạc đỏ + vàng</t>
  </si>
  <si>
    <t>Sheet1!A5:J5</t>
  </si>
  <si>
    <t>NH-0003</t>
  </si>
  <si>
    <t>Khay Cân bằng Hoàng Long</t>
  </si>
  <si>
    <t>Hóa đơn trong nhóm</t>
  </si>
  <si>
    <t>Sheet1!A6:J6</t>
  </si>
  <si>
    <t>NH-0004</t>
  </si>
  <si>
    <t>Công tắc Led (2 đợt)</t>
  </si>
  <si>
    <t>Sheet1!A7:J7</t>
  </si>
  <si>
    <t>NH-0005</t>
  </si>
  <si>
    <t>Cắt ván + dán chỉ (chỗ Hựu)</t>
  </si>
  <si>
    <t>Sheet1!A8:J8</t>
  </si>
  <si>
    <t>NH-0006</t>
  </si>
  <si>
    <t>Nguồn 5V cũ</t>
  </si>
  <si>
    <t>Sheet1!A9:J9</t>
  </si>
  <si>
    <t>NH-0007</t>
  </si>
  <si>
    <t>Nguồn 5V 60A new tốt</t>
  </si>
  <si>
    <t>Sheet1!A10:J10</t>
  </si>
  <si>
    <t>NH-0008</t>
  </si>
  <si>
    <t>Linh kiện - Vật tư nhập về làm</t>
  </si>
  <si>
    <t>Hóa đơn trong nhóm (ngày 4/9)</t>
  </si>
  <si>
    <t>Sheet1!A11:J11</t>
  </si>
  <si>
    <t>NH-0009</t>
  </si>
  <si>
    <t>Máy test nội trở + đế + que đo</t>
  </si>
  <si>
    <t>Sheet1!A12:J12</t>
  </si>
  <si>
    <t>NH-0010</t>
  </si>
  <si>
    <t>Máy hàn cell pin</t>
  </si>
  <si>
    <t>Đã tạm ứng 7,000,000</t>
  </si>
  <si>
    <t>Sheet1!A13:J13</t>
  </si>
  <si>
    <t>NH-0011</t>
  </si>
  <si>
    <t>Máy  gọt cell pin</t>
  </si>
  <si>
    <t>Sheet1!A14:J14</t>
  </si>
  <si>
    <t>NH-0012</t>
  </si>
  <si>
    <t>Bộ test công suất + chống chập</t>
  </si>
  <si>
    <t>Sheet1!A15:J15</t>
  </si>
  <si>
    <t>NH-0013</t>
  </si>
  <si>
    <t>Máy cấp nguồn 120V 25A</t>
  </si>
  <si>
    <t>Sheet1!A16:J16</t>
  </si>
  <si>
    <t>NH-0014</t>
  </si>
  <si>
    <t>Bảng sạc pin</t>
  </si>
  <si>
    <t>combo 5 bảng+tiền tk+VAT+ ship</t>
  </si>
  <si>
    <t>Sheet1!A17:J17</t>
  </si>
  <si>
    <t>NH-0015</t>
  </si>
  <si>
    <t>Mạch test dung lượng + trở sứ</t>
  </si>
  <si>
    <t>Sheet1!A18:J18</t>
  </si>
  <si>
    <t>NH-0016</t>
  </si>
  <si>
    <t>Sheet1!A19:J19</t>
  </si>
  <si>
    <t>NH-0017</t>
  </si>
  <si>
    <t>Máy mài MKT TQ</t>
  </si>
  <si>
    <t>xe Thanh đem về</t>
  </si>
  <si>
    <t>Sheet1!A20:J20</t>
  </si>
  <si>
    <t>NH-0018</t>
  </si>
  <si>
    <t>Khoan 3CN starker 10mm đỏ</t>
  </si>
  <si>
    <t>Sheet1!A21:J21</t>
  </si>
  <si>
    <t>NH-0019</t>
  </si>
  <si>
    <t>Bulong mkt TQ xám</t>
  </si>
  <si>
    <t>Sheet1!A22:J22</t>
  </si>
  <si>
    <t>NH-0020</t>
  </si>
  <si>
    <t>Vít 173 tq xanh</t>
  </si>
  <si>
    <t>Sheet1!A23:J23</t>
  </si>
  <si>
    <t>NH-0021</t>
  </si>
  <si>
    <t>Khoan 13mm YMS xanh</t>
  </si>
  <si>
    <t>Sheet1!A24:J24</t>
  </si>
  <si>
    <t>NH-0022</t>
  </si>
  <si>
    <t>Đèn led nhỏ</t>
  </si>
  <si>
    <t>Sheet1!A25:J25</t>
  </si>
  <si>
    <t>NH-0023</t>
  </si>
  <si>
    <t>Quạt  lồg sắt</t>
  </si>
  <si>
    <t>Sheet1!A26:J26</t>
  </si>
  <si>
    <t>NH-0024</t>
  </si>
  <si>
    <t>Kích điện từ pin lên 220v</t>
  </si>
  <si>
    <t>Sheet1!A27:J27</t>
  </si>
  <si>
    <t>NH-0025</t>
  </si>
  <si>
    <t>Thiếc hàng nhật 800g 0.8mm</t>
  </si>
  <si>
    <t>Sheet1!A28:J28</t>
  </si>
  <si>
    <t>NH-0026</t>
  </si>
  <si>
    <t>Bộ hộp pin xe điện (có khung+kẽm)</t>
  </si>
  <si>
    <t>gửi xe Thanh chuyển xe bà Hà</t>
  </si>
  <si>
    <t>Sheet1!A29:J29</t>
  </si>
  <si>
    <t>NH-0027</t>
  </si>
  <si>
    <t>Mạch pin 13/14s 40A</t>
  </si>
  <si>
    <t>Sheet1!A30:J30</t>
  </si>
  <si>
    <t>NH-0028</t>
  </si>
  <si>
    <t>Sạc 2s2A rẻ</t>
  </si>
  <si>
    <t>Sheet1!A31:J31</t>
  </si>
  <si>
    <t>NH-0029</t>
  </si>
  <si>
    <t>sạc 3s2A rẻ</t>
  </si>
  <si>
    <t>Sheet1!A32:J32</t>
  </si>
  <si>
    <t>NH-0030</t>
  </si>
  <si>
    <t>Sạc 3s2A thường</t>
  </si>
  <si>
    <t>Sheet1!A33:J33</t>
  </si>
  <si>
    <t>NH-0031</t>
  </si>
  <si>
    <t>Sạc 4s2A thường</t>
  </si>
  <si>
    <t>Sheet1!A34:J34</t>
  </si>
  <si>
    <t>NH-0032</t>
  </si>
  <si>
    <t>Sạc 5s2A rẻ</t>
  </si>
  <si>
    <t>Sheet1!A35:J35</t>
  </si>
  <si>
    <t>NH-0033</t>
  </si>
  <si>
    <t>Sạc 5s2A thường</t>
  </si>
  <si>
    <t>Sheet1!A36:J36</t>
  </si>
  <si>
    <t>NH-0034</t>
  </si>
  <si>
    <t>Sạc 5s3A có quạt</t>
  </si>
  <si>
    <t>Sheet1!A37:J37</t>
  </si>
  <si>
    <t>NH-0035</t>
  </si>
  <si>
    <t>Jack Xt60</t>
  </si>
  <si>
    <t>Sheet1!A38:J38</t>
  </si>
  <si>
    <t>NH-0036</t>
  </si>
  <si>
    <t>Đèn NLMT BC 200w</t>
  </si>
  <si>
    <t>Sheet1!A39:J39</t>
  </si>
  <si>
    <t>NH-0037</t>
  </si>
  <si>
    <t>Đèn NLMT pha 300w</t>
  </si>
  <si>
    <t>Sheet1!A40:J40</t>
  </si>
  <si>
    <t>NH-0038</t>
  </si>
  <si>
    <t>Đèn NLMT mắt ngọc 300W</t>
  </si>
  <si>
    <t>Sheet1!A41:J41</t>
  </si>
  <si>
    <t>NH-0039</t>
  </si>
  <si>
    <t>dây AWG 12</t>
  </si>
  <si>
    <t>Sheet1!A42:J42</t>
  </si>
  <si>
    <t>NH-0040</t>
  </si>
  <si>
    <t>phím nhỏ</t>
  </si>
  <si>
    <t>Sheet1!A45:J45</t>
  </si>
  <si>
    <t>NH-0041</t>
  </si>
  <si>
    <t>1/2kg giấy 65mm</t>
  </si>
  <si>
    <t>Sheet1!A46:J46</t>
  </si>
  <si>
    <t>NH-0042</t>
  </si>
  <si>
    <t>A123</t>
  </si>
  <si>
    <t>Sheet1!A47:J47</t>
  </si>
  <si>
    <t>NH-0043</t>
  </si>
  <si>
    <t>mạch 4s 720Alfp new</t>
  </si>
  <si>
    <t>Sheet1!A48:J48</t>
  </si>
  <si>
    <t>NH-0044</t>
  </si>
  <si>
    <t>Box 13/145full</t>
  </si>
  <si>
    <t>Sheet1!A49:J49</t>
  </si>
  <si>
    <t>NH-0045</t>
  </si>
  <si>
    <t>mạch 13s20Adaly</t>
  </si>
  <si>
    <t>Sheet1!A50:J50</t>
  </si>
  <si>
    <t>NH-0046</t>
  </si>
  <si>
    <t>kẽm đôi 02*25,1kg</t>
  </si>
  <si>
    <t>Sheet1!A51:J51</t>
  </si>
  <si>
    <t>NH-0047</t>
  </si>
  <si>
    <t>1kg kẽm đơn02*8xr</t>
  </si>
  <si>
    <t>Sheet1!A52:J52</t>
  </si>
  <si>
    <t>NH-0048</t>
  </si>
  <si>
    <t>2 vỏ + mạch  bình 30A</t>
  </si>
  <si>
    <t>Phương đem về</t>
  </si>
  <si>
    <t>Sheet1!A53:J53</t>
  </si>
  <si>
    <t>NH-0049</t>
  </si>
  <si>
    <t>24 viên pin 33140 EVE</t>
  </si>
  <si>
    <t>Sheet1!A54:J54</t>
  </si>
  <si>
    <t>NH-0050</t>
  </si>
  <si>
    <t>VỎ MẠCH 10 CELL</t>
  </si>
  <si>
    <t>Gởi cùng hàng bên nhà</t>
  </si>
  <si>
    <t>Sheet1!A55:J55</t>
  </si>
  <si>
    <t>NH-0051</t>
  </si>
  <si>
    <t>VỎ MẠCH 15 CELL</t>
  </si>
  <si>
    <t>Sheet1!A56:J56</t>
  </si>
  <si>
    <t>NH-0052</t>
  </si>
  <si>
    <t>VỎ 45A</t>
  </si>
  <si>
    <t>CHÂU CHỞ VỀ</t>
  </si>
  <si>
    <t>Sheet1!A57:J57</t>
  </si>
  <si>
    <t>NH-0053</t>
  </si>
  <si>
    <t>PIN33140EVE</t>
  </si>
  <si>
    <t>Sheet1!A58:J58</t>
  </si>
  <si>
    <t>NH-0054</t>
  </si>
  <si>
    <t>MẠCH 200A CCBTD ,CHỐNG CHẬP</t>
  </si>
  <si>
    <t>Sheet1!A59:J59</t>
  </si>
  <si>
    <t>NH-0055</t>
  </si>
  <si>
    <t>SẠC 21V 3A,CÓ QUẠT</t>
  </si>
  <si>
    <t>Sheet1!A60:J60</t>
  </si>
  <si>
    <t>NH-0056</t>
  </si>
  <si>
    <t>MÁY XẢ</t>
  </si>
  <si>
    <t>SHIP</t>
  </si>
  <si>
    <t>Sheet1!A61:J61</t>
  </si>
  <si>
    <t>NH-0057</t>
  </si>
  <si>
    <t>Vỏ ,mạch ,sạc,laser</t>
  </si>
  <si>
    <t>Sheet1!A62:J62</t>
  </si>
  <si>
    <t>NH-0058</t>
  </si>
  <si>
    <t>Sữa máy cắt</t>
  </si>
  <si>
    <t>Sheet1!A63:J63</t>
  </si>
  <si>
    <t>NH-0059</t>
  </si>
  <si>
    <t>Máy cắt gởi tâm</t>
  </si>
  <si>
    <t>Gởi tâm sài gòn</t>
  </si>
  <si>
    <t>Sheet1!A64:J64</t>
  </si>
  <si>
    <t>NH-0060</t>
  </si>
  <si>
    <t>Máy vít 173,pin15cell,sạc nhanh,1 đèn ,đóng lại 2 quả pin 5cell</t>
  </si>
  <si>
    <t>Ở bệnh viện đa khoa</t>
  </si>
  <si>
    <t>Sheet1!A65:J65</t>
  </si>
  <si>
    <t>NH-0061</t>
  </si>
  <si>
    <t>pin vev 25p</t>
  </si>
  <si>
    <t>Sheet1!A66:J66</t>
  </si>
  <si>
    <t>NH-0062</t>
  </si>
  <si>
    <t>Pin 21700,50E</t>
  </si>
  <si>
    <t>xe quyền</t>
  </si>
  <si>
    <t>Sheet1!A67:J67</t>
  </si>
  <si>
    <t>NH-0063</t>
  </si>
  <si>
    <t>vỏ  sạc dự phòng 20ah</t>
  </si>
  <si>
    <t>Sheet1!A68:J68</t>
  </si>
  <si>
    <t>NH-0064</t>
  </si>
  <si>
    <t>1 họp nhựa xe điện</t>
  </si>
  <si>
    <t>xe sỹ</t>
  </si>
  <si>
    <t>Sheet1!A69:J69</t>
  </si>
  <si>
    <t>NH-0065</t>
  </si>
  <si>
    <t>1 mạch daly 13s30a</t>
  </si>
  <si>
    <t>Sheet1!A70:J70</t>
  </si>
  <si>
    <t>NH-0066</t>
  </si>
  <si>
    <t>pinn 21700 ,50e</t>
  </si>
  <si>
    <t>Sheet1!A71:J71</t>
  </si>
  <si>
    <t>NH-0067</t>
  </si>
  <si>
    <t>sạc 13s5a</t>
  </si>
  <si>
    <t>Sheet1!A72:J72</t>
  </si>
  <si>
    <t>NH-0068</t>
  </si>
  <si>
    <t>Mạch 5s</t>
  </si>
  <si>
    <t>Sheet1!A73:J73</t>
  </si>
  <si>
    <t>NH-0069</t>
  </si>
  <si>
    <t>Máy  siết bu lông DTW700</t>
  </si>
  <si>
    <t>Sheet1!A74:J74</t>
  </si>
  <si>
    <t>NH-0070</t>
  </si>
  <si>
    <t>Pin 33140eve</t>
  </si>
  <si>
    <t>Sheet1!A76:J76</t>
  </si>
  <si>
    <t>NH-0071</t>
  </si>
  <si>
    <t>Sạc 21v3a</t>
  </si>
  <si>
    <t>Sheet1!A77:J77</t>
  </si>
  <si>
    <t>NH-0072</t>
  </si>
  <si>
    <t>Mạch bình xe máy</t>
  </si>
  <si>
    <t>Sheet1!A78:J78</t>
  </si>
  <si>
    <t>NH-0073</t>
  </si>
  <si>
    <t>Dây điện bãi</t>
  </si>
  <si>
    <t>Sheet1!A79:J79</t>
  </si>
  <si>
    <t>NH-0074</t>
  </si>
  <si>
    <t>Bộ vỏ 4s</t>
  </si>
  <si>
    <t>Sheet1!A80:J80</t>
  </si>
  <si>
    <t>NH-0075</t>
  </si>
  <si>
    <t>Ông ck cho long 2000000</t>
  </si>
  <si>
    <t>Sheet1!A82:J82</t>
  </si>
  <si>
    <t>NH-0076</t>
  </si>
  <si>
    <t>ss 50</t>
  </si>
  <si>
    <t>Sheet1!A83:J83</t>
  </si>
  <si>
    <t>NH-0077</t>
  </si>
  <si>
    <t>đã tính xong ông còn nợ lại long 20230000</t>
  </si>
  <si>
    <t>Sheet1!A84:J84</t>
  </si>
  <si>
    <t>NH-0078</t>
  </si>
  <si>
    <t>NH-0079</t>
  </si>
  <si>
    <t>NH-0080</t>
  </si>
  <si>
    <t>NH-0081</t>
  </si>
  <si>
    <t>NH-0082</t>
  </si>
  <si>
    <t>NH-0083</t>
  </si>
  <si>
    <t>NH-0084</t>
  </si>
  <si>
    <t>NH-0085</t>
  </si>
  <si>
    <t>NH-0086</t>
  </si>
  <si>
    <t>NH-0087</t>
  </si>
  <si>
    <t>NH-0088</t>
  </si>
  <si>
    <t>NH-0089</t>
  </si>
  <si>
    <t>NH-0090</t>
  </si>
  <si>
    <t>NH-0091</t>
  </si>
  <si>
    <t>NH-0092</t>
  </si>
  <si>
    <t>NH-0093</t>
  </si>
  <si>
    <t>NH-0094</t>
  </si>
  <si>
    <t>NH-0095</t>
  </si>
  <si>
    <t>NH-0096</t>
  </si>
  <si>
    <t>NH-0097</t>
  </si>
  <si>
    <t>NH-0098</t>
  </si>
  <si>
    <t>NH-0099</t>
  </si>
  <si>
    <t>NH-0100</t>
  </si>
  <si>
    <t>NH-0101</t>
  </si>
  <si>
    <t>NH-0102</t>
  </si>
  <si>
    <t>NH-0103</t>
  </si>
  <si>
    <t>NH-0104</t>
  </si>
  <si>
    <t>NH-0105</t>
  </si>
  <si>
    <t>NH-0106</t>
  </si>
  <si>
    <t>NH-0107</t>
  </si>
  <si>
    <t>NH-0108</t>
  </si>
  <si>
    <t>NH-0109</t>
  </si>
  <si>
    <t>NH-0110</t>
  </si>
  <si>
    <t>NH-0111</t>
  </si>
  <si>
    <t>NH-0112</t>
  </si>
  <si>
    <t>NH-0113</t>
  </si>
  <si>
    <t>NH-0114</t>
  </si>
  <si>
    <t>NH-0115</t>
  </si>
  <si>
    <t>NH-0116</t>
  </si>
  <si>
    <t>NH-0117</t>
  </si>
  <si>
    <t>NH-0118</t>
  </si>
  <si>
    <t>NH-0119</t>
  </si>
  <si>
    <t>NH-0120</t>
  </si>
  <si>
    <t>NH-0121</t>
  </si>
  <si>
    <t>NH-0122</t>
  </si>
  <si>
    <t>NH-0123</t>
  </si>
  <si>
    <t>NH-0124</t>
  </si>
  <si>
    <t>NH-0125</t>
  </si>
  <si>
    <t>NH-0126</t>
  </si>
  <si>
    <t>NH-0127</t>
  </si>
  <si>
    <t>NH-0128</t>
  </si>
  <si>
    <t>NH-0129</t>
  </si>
  <si>
    <t>NH-0130</t>
  </si>
  <si>
    <t>NH-0131</t>
  </si>
  <si>
    <t>NH-0132</t>
  </si>
  <si>
    <t>NH-0133</t>
  </si>
  <si>
    <t>NH-0134</t>
  </si>
  <si>
    <t>NH-0135</t>
  </si>
  <si>
    <t>NH-0136</t>
  </si>
  <si>
    <t>NH-0137</t>
  </si>
  <si>
    <t>Mã thanh toán</t>
  </si>
  <si>
    <t>Ngày</t>
  </si>
  <si>
    <t>Số tiền</t>
  </si>
  <si>
    <t>Phương thức</t>
  </si>
  <si>
    <t>TT-0001</t>
  </si>
  <si>
    <t>2/3/2026</t>
  </si>
  <si>
    <t>Chuyển khoản</t>
  </si>
  <si>
    <t>Từ đầu đến ngày 2/3/2026 tc ck cho long là50tr</t>
  </si>
  <si>
    <t>TT-0002</t>
  </si>
  <si>
    <t>TT-0003</t>
  </si>
  <si>
    <t>TT-0004</t>
  </si>
  <si>
    <t>TT-0005</t>
  </si>
  <si>
    <t>TT-0006</t>
  </si>
  <si>
    <t>TT-0007</t>
  </si>
  <si>
    <t>TT-0008</t>
  </si>
  <si>
    <t>TT-0009</t>
  </si>
  <si>
    <t>TT-0010</t>
  </si>
  <si>
    <t>TT-0011</t>
  </si>
  <si>
    <t>TT-0012</t>
  </si>
  <si>
    <t>TT-0013</t>
  </si>
  <si>
    <t>TT-0014</t>
  </si>
  <si>
    <t>TT-0015</t>
  </si>
  <si>
    <t>TT-0016</t>
  </si>
  <si>
    <t>TT-0017</t>
  </si>
  <si>
    <t>TT-0018</t>
  </si>
  <si>
    <t>TT-0019</t>
  </si>
  <si>
    <t>TT-0020</t>
  </si>
  <si>
    <t>TT-0021</t>
  </si>
  <si>
    <t>TT-0022</t>
  </si>
  <si>
    <t>TT-0023</t>
  </si>
  <si>
    <t>TT-0024</t>
  </si>
  <si>
    <t>TT-0025</t>
  </si>
  <si>
    <t>TT-0026</t>
  </si>
  <si>
    <t>TT-0027</t>
  </si>
  <si>
    <t>TT-0028</t>
  </si>
  <si>
    <t>TT-0029</t>
  </si>
  <si>
    <t>TT-0030</t>
  </si>
  <si>
    <t>TT-0031</t>
  </si>
  <si>
    <t>TT-0032</t>
  </si>
  <si>
    <t>TT-0033</t>
  </si>
  <si>
    <t>TT-0034</t>
  </si>
  <si>
    <t>TT-0035</t>
  </si>
  <si>
    <t>TT-0036</t>
  </si>
  <si>
    <t>TT-0037</t>
  </si>
  <si>
    <t>TT-0038</t>
  </si>
  <si>
    <t>TT-0039</t>
  </si>
  <si>
    <t>TT-0040</t>
  </si>
  <si>
    <t>TT-0041</t>
  </si>
  <si>
    <t>TT-0042</t>
  </si>
  <si>
    <t>TT-0043</t>
  </si>
  <si>
    <t>TT-0044</t>
  </si>
  <si>
    <t>TT-0045</t>
  </si>
  <si>
    <t>TT-0046</t>
  </si>
  <si>
    <t>TT-0047</t>
  </si>
  <si>
    <t>TT-0048</t>
  </si>
  <si>
    <t>TT-0049</t>
  </si>
  <si>
    <t>TT-0050</t>
  </si>
  <si>
    <t>TT-0051</t>
  </si>
  <si>
    <t>TT-0052</t>
  </si>
  <si>
    <t>TT-0053</t>
  </si>
  <si>
    <t>TT-0054</t>
  </si>
  <si>
    <t>TT-0055</t>
  </si>
  <si>
    <t>TT-0056</t>
  </si>
  <si>
    <t>TT-0057</t>
  </si>
  <si>
    <t>TT-0058</t>
  </si>
  <si>
    <t>TT-0059</t>
  </si>
  <si>
    <t>TT-0060</t>
  </si>
  <si>
    <t>TT-0061</t>
  </si>
  <si>
    <t>TT-0062</t>
  </si>
  <si>
    <t>TT-0063</t>
  </si>
  <si>
    <t>TT-0064</t>
  </si>
  <si>
    <t>TT-0065</t>
  </si>
  <si>
    <t>TT-0066</t>
  </si>
  <si>
    <t>TT-0067</t>
  </si>
  <si>
    <t>TT-0068</t>
  </si>
  <si>
    <t>TT-0069</t>
  </si>
  <si>
    <t>TT-0070</t>
  </si>
  <si>
    <t>TT-0071</t>
  </si>
  <si>
    <t>TT-0072</t>
  </si>
  <si>
    <t>TT-0073</t>
  </si>
  <si>
    <t>TT-0074</t>
  </si>
  <si>
    <t>TT-0075</t>
  </si>
  <si>
    <t>TT-0076</t>
  </si>
  <si>
    <t>TT-0077</t>
  </si>
  <si>
    <t>TT-0078</t>
  </si>
  <si>
    <t>Mã trả</t>
  </si>
  <si>
    <t>Lý do/Ghi chú</t>
  </si>
  <si>
    <t>TR-0001</t>
  </si>
  <si>
    <t>Nhập từ tab Đơn trả lại</t>
  </si>
  <si>
    <t>Đơn trả lại!A4:E4</t>
  </si>
  <si>
    <t>TR-0002</t>
  </si>
  <si>
    <t>MÁY MÀI MKT TQ</t>
  </si>
  <si>
    <t>Đơn trả lại!A5:E5</t>
  </si>
  <si>
    <t>TR-0003</t>
  </si>
  <si>
    <t>PIN21700</t>
  </si>
  <si>
    <t>Đơn trả lại!A6:E6</t>
  </si>
  <si>
    <t>TR-0004</t>
  </si>
  <si>
    <t>FIN18600</t>
  </si>
  <si>
    <t>Đơn trả lại!A7:E7</t>
  </si>
  <si>
    <t>TR-0005</t>
  </si>
  <si>
    <t>TR-0006</t>
  </si>
  <si>
    <t>TR-0007</t>
  </si>
  <si>
    <t>TR-0008</t>
  </si>
  <si>
    <t>TR-0009</t>
  </si>
  <si>
    <t>TR-0010</t>
  </si>
  <si>
    <t>TR-0011</t>
  </si>
  <si>
    <t>TR-0012</t>
  </si>
  <si>
    <t>TR-0013</t>
  </si>
  <si>
    <t>TR-0014</t>
  </si>
  <si>
    <t>TR-0015</t>
  </si>
  <si>
    <t>TR-0016</t>
  </si>
  <si>
    <t>TR-0017</t>
  </si>
  <si>
    <t>TR-0018</t>
  </si>
  <si>
    <t>TR-0019</t>
  </si>
  <si>
    <t>TR-0020</t>
  </si>
  <si>
    <t>TR-0021</t>
  </si>
  <si>
    <t>TR-0022</t>
  </si>
  <si>
    <t>TR-0023</t>
  </si>
  <si>
    <t>TR-0024</t>
  </si>
  <si>
    <t>TR-0025</t>
  </si>
  <si>
    <t>TR-0026</t>
  </si>
  <si>
    <t>TR-0027</t>
  </si>
  <si>
    <t>TR-0028</t>
  </si>
  <si>
    <t>TR-0029</t>
  </si>
  <si>
    <t>TR-0030</t>
  </si>
  <si>
    <t>TR-0031</t>
  </si>
  <si>
    <t>TR-0032</t>
  </si>
  <si>
    <t>TR-0033</t>
  </si>
  <si>
    <t>TR-0034</t>
  </si>
  <si>
    <t>TR-0035</t>
  </si>
  <si>
    <t>TR-0036</t>
  </si>
  <si>
    <t>TR-0037</t>
  </si>
  <si>
    <t>TR-0038</t>
  </si>
  <si>
    <t>TR-0039</t>
  </si>
  <si>
    <t>TR-0040</t>
  </si>
  <si>
    <t>TR-0041</t>
  </si>
  <si>
    <t>TR-0042</t>
  </si>
  <si>
    <t>TR-0043</t>
  </si>
  <si>
    <t>TR-0044</t>
  </si>
  <si>
    <t>TR-0045</t>
  </si>
  <si>
    <t>TR-0046</t>
  </si>
  <si>
    <t>TR-0047</t>
  </si>
  <si>
    <t>TR-0048</t>
  </si>
  <si>
    <t>TR-0049</t>
  </si>
  <si>
    <t>TR-0050</t>
  </si>
  <si>
    <t>TR-0051</t>
  </si>
  <si>
    <t>TR-0052</t>
  </si>
  <si>
    <t>TR-0053</t>
  </si>
  <si>
    <t>TR-0054</t>
  </si>
  <si>
    <t>TR-0055</t>
  </si>
  <si>
    <t>TR-0056</t>
  </si>
  <si>
    <t>TR-0057</t>
  </si>
  <si>
    <t>TR-0058</t>
  </si>
  <si>
    <t>TR-0059</t>
  </si>
  <si>
    <t>TR-0060</t>
  </si>
  <si>
    <t>TR-0061</t>
  </si>
  <si>
    <t>TR-0062</t>
  </si>
  <si>
    <t>TR-0063</t>
  </si>
  <si>
    <t>TR-0064</t>
  </si>
  <si>
    <t>TR-0065</t>
  </si>
  <si>
    <t>TR-0066</t>
  </si>
  <si>
    <t>TR-0067</t>
  </si>
  <si>
    <t>TR-0068</t>
  </si>
  <si>
    <t>TR-0069</t>
  </si>
  <si>
    <t>TR-0070</t>
  </si>
  <si>
    <t>TR-0071</t>
  </si>
  <si>
    <t>TR-0072</t>
  </si>
  <si>
    <t>TR-0073</t>
  </si>
  <si>
    <t>TR-0074</t>
  </si>
  <si>
    <t>TR-0075</t>
  </si>
  <si>
    <t>TR-0076</t>
  </si>
  <si>
    <t>TR-0077</t>
  </si>
  <si>
    <t>TR-0078</t>
  </si>
  <si>
    <t>Mã đơn</t>
  </si>
  <si>
    <t>Ngày mua</t>
  </si>
  <si>
    <t>Tên khách</t>
  </si>
  <si>
    <t>Số điện thoại</t>
  </si>
  <si>
    <t>Sản phẩm</t>
  </si>
  <si>
    <t>Tổng tiền</t>
  </si>
  <si>
    <t>Đã thu</t>
  </si>
  <si>
    <t>Còn nợ</t>
  </si>
  <si>
    <t>DH-0001</t>
  </si>
  <si>
    <t>TÂM LÊ</t>
  </si>
  <si>
    <t>0935694536</t>
  </si>
  <si>
    <t>1FIN 12AH</t>
  </si>
  <si>
    <t>Đơn hàng đã bán!A4:I4</t>
  </si>
  <si>
    <t>DH-0002</t>
  </si>
  <si>
    <t>KHOÁ NGUYỄN</t>
  </si>
  <si>
    <t>0983926939</t>
  </si>
  <si>
    <t>1SAC1FIN7,5AH</t>
  </si>
  <si>
    <t>Mạch+đóng</t>
  </si>
  <si>
    <t>Đơn hàng đã bán!A5:I5</t>
  </si>
  <si>
    <t>DH-0003</t>
  </si>
  <si>
    <t>HUỲNH KIỀU</t>
  </si>
  <si>
    <t>0377732140</t>
  </si>
  <si>
    <t>1 ĐÈN NL 300W</t>
  </si>
  <si>
    <t>Đơn hàng đã bán!A6:I6</t>
  </si>
  <si>
    <t>DH-0004</t>
  </si>
  <si>
    <t>NGUYỄN PHƯỚC THIỆN</t>
  </si>
  <si>
    <t>0364909695</t>
  </si>
  <si>
    <t>1 SẠC DỰ PHÒNG 4CELL</t>
  </si>
  <si>
    <t>Đơn hàng đã bán!A7:I7</t>
  </si>
  <si>
    <t>DH-0005</t>
  </si>
  <si>
    <t>HÀ LÊ</t>
  </si>
  <si>
    <t>0987475125</t>
  </si>
  <si>
    <t>1BINH XE MÁY</t>
  </si>
  <si>
    <t>Đơn hàng đã bán!A8:I8</t>
  </si>
  <si>
    <t>DH-0006</t>
  </si>
  <si>
    <t>Bình lâm Tâm</t>
  </si>
  <si>
    <t>0972947410</t>
  </si>
  <si>
    <t>Bình 30a</t>
  </si>
  <si>
    <t>Đơn hàng đã bán!A9:I9</t>
  </si>
  <si>
    <t>DH-0007</t>
  </si>
  <si>
    <t>Vĩnh bộ đội</t>
  </si>
  <si>
    <t>Bình 45A</t>
  </si>
  <si>
    <t>Đơn hàng đã bán!A10:I10</t>
  </si>
  <si>
    <t>DH-0008</t>
  </si>
  <si>
    <t>Vương</t>
  </si>
  <si>
    <t>Pin 15cell</t>
  </si>
  <si>
    <t>Đơn hàng đã bán!A11:I11</t>
  </si>
  <si>
    <t>DH-0009</t>
  </si>
  <si>
    <t>Sang</t>
  </si>
  <si>
    <t>Pin15cell-sạc-đèn</t>
  </si>
  <si>
    <t>Đơn hàng đã bán!A12:I12</t>
  </si>
  <si>
    <t>DH-0010</t>
  </si>
  <si>
    <t>Liên cơ khí</t>
  </si>
  <si>
    <t>Đèn</t>
  </si>
  <si>
    <t>Đơn hàng đã bán!A13:I13</t>
  </si>
  <si>
    <t>DH-0011</t>
  </si>
  <si>
    <t>Anh Hiệp</t>
  </si>
  <si>
    <t>Camera -pin5cell-đèn,sạc</t>
  </si>
  <si>
    <t>Đơn hàng đã bán!A14:I14</t>
  </si>
  <si>
    <t>DH-0012</t>
  </si>
  <si>
    <t>Bình 45ah-pin15cell-máy vít -sạc</t>
  </si>
  <si>
    <t>Đơn hàng đã bán!A15:I15</t>
  </si>
  <si>
    <t>DH-0013</t>
  </si>
  <si>
    <t>2026-01-12 00:00:00</t>
  </si>
  <si>
    <t>Ut chup,0375064153/12/1/2026</t>
  </si>
  <si>
    <t>0375064153</t>
  </si>
  <si>
    <t>Bình 45ah</t>
  </si>
  <si>
    <t>375064152</t>
  </si>
  <si>
    <t>Đơn hàng đã bán!A16:I16</t>
  </si>
  <si>
    <t>DH-0014</t>
  </si>
  <si>
    <t>2026-01-17 00:00:00</t>
  </si>
  <si>
    <t>Bi trương</t>
  </si>
  <si>
    <t>Sạc tốt 5a</t>
  </si>
  <si>
    <t>Đơn hàng đã bán!A17:I17</t>
  </si>
  <si>
    <t>DH-0015</t>
  </si>
  <si>
    <t>2026-01-23 00:00:00</t>
  </si>
  <si>
    <t>Phế liệu qs</t>
  </si>
  <si>
    <t>Pin15cell,máy bu lông</t>
  </si>
  <si>
    <t>Đơn hàng đã bán!A18:I18</t>
  </si>
  <si>
    <t>DH-0016</t>
  </si>
  <si>
    <t>37/1/2026</t>
  </si>
  <si>
    <t>Pin 15cell1máy cắt,sạc</t>
  </si>
  <si>
    <t>Đơn hàng đã bán!A19:I19</t>
  </si>
  <si>
    <t>DH-0017</t>
  </si>
  <si>
    <t>28/012026</t>
  </si>
  <si>
    <t>Tiên  đoan</t>
  </si>
  <si>
    <t>Pin10-15cell,sạc</t>
  </si>
  <si>
    <t>Đơn hàng đã bán!A20:I20</t>
  </si>
  <si>
    <t>DH-0018</t>
  </si>
  <si>
    <t>2026-01-26 00:00:00</t>
  </si>
  <si>
    <t>Khoá</t>
  </si>
  <si>
    <t>Sạc dự phòng</t>
  </si>
  <si>
    <t>Đơn hàng đã bán!A21:I21</t>
  </si>
  <si>
    <t>DH-0019</t>
  </si>
  <si>
    <t>2026-03-03 00:00:00</t>
  </si>
  <si>
    <t>Pin15cell,1 máy buloong</t>
  </si>
  <si>
    <t>Đơn hàng đã bán!A22:I22</t>
  </si>
  <si>
    <t>DH-0020</t>
  </si>
  <si>
    <t>2026-03-07 00:00:00</t>
  </si>
  <si>
    <t>Mẹ Thêu QM</t>
  </si>
  <si>
    <t>Đèn NL đĩa bay</t>
  </si>
  <si>
    <t>Đơn hàng đã bán!A23:I23</t>
  </si>
  <si>
    <t>DH-0021</t>
  </si>
  <si>
    <t>2026-03-20 00:00:00</t>
  </si>
  <si>
    <t>Thay mạch 4s</t>
  </si>
  <si>
    <t>Đơn hàng đã bán!A24:I24</t>
  </si>
  <si>
    <t>DH-0022</t>
  </si>
  <si>
    <t>2026-03-23 00:00:00</t>
  </si>
  <si>
    <t>2 pin 15cell+1 sạch nhanh</t>
  </si>
  <si>
    <t>Đơn hàng đã bán!A25:I25</t>
  </si>
  <si>
    <t>DH-0023</t>
  </si>
  <si>
    <t>2026-04-02 00:00:00</t>
  </si>
  <si>
    <t>Long rèn</t>
  </si>
  <si>
    <t>Pin áo</t>
  </si>
  <si>
    <t>Đơn hàng đã bán!A26:I26</t>
  </si>
  <si>
    <t>DH-0024</t>
  </si>
  <si>
    <t>2026-04-04 00:00:00</t>
  </si>
  <si>
    <t>Quốc dinh</t>
  </si>
  <si>
    <t>0869029139</t>
  </si>
  <si>
    <t>Pin áo,sạc</t>
  </si>
  <si>
    <t>Đơn hàng đã bán!A27:I27</t>
  </si>
  <si>
    <t>DH-0025</t>
  </si>
  <si>
    <t>2026-04-07 00:00:00</t>
  </si>
  <si>
    <t>Đội 6 thôn 2</t>
  </si>
  <si>
    <t>Đèn năng lượng</t>
  </si>
  <si>
    <t>Đơn hàng đã bán!A28:I28</t>
  </si>
  <si>
    <t>DH-0026</t>
  </si>
  <si>
    <t>2026-04-10 00:00:00</t>
  </si>
  <si>
    <t>Thủy hoa t4</t>
  </si>
  <si>
    <t>Pin áo 6cell217</t>
  </si>
  <si>
    <t>Đơn hàng đã bán!A29:I29</t>
  </si>
  <si>
    <t>DH-0027</t>
  </si>
  <si>
    <t>2026-04-09 00:00:00</t>
  </si>
  <si>
    <t>Vợ thày đ15</t>
  </si>
  <si>
    <t>0397504447</t>
  </si>
  <si>
    <t>Đèn NL,mã</t>
  </si>
  <si>
    <t>Đơn hàng đã bán!A30:I30</t>
  </si>
  <si>
    <t>DH-0028</t>
  </si>
  <si>
    <t>2026-04-18 00:00:00</t>
  </si>
  <si>
    <t>Sạc 16,8v</t>
  </si>
  <si>
    <t>Đơn hàng đã bán!A31:I31</t>
  </si>
  <si>
    <t>DH-0029</t>
  </si>
  <si>
    <t>Quốc đ15</t>
  </si>
  <si>
    <t>Pin áo điều hòa</t>
  </si>
  <si>
    <t>Đơn hàng đã bán!A32:I32</t>
  </si>
  <si>
    <t>DH-0030</t>
  </si>
  <si>
    <t>2026-04-20 00:00:00</t>
  </si>
  <si>
    <t>Vinh bé sâm</t>
  </si>
  <si>
    <t>Đơn hàng đã bán!A33:I33</t>
  </si>
  <si>
    <t>DH-0031</t>
  </si>
  <si>
    <t>2026-04-22 00:00:00</t>
  </si>
  <si>
    <t>Kha đ9</t>
  </si>
  <si>
    <t>Đơn hàng đã bán!A34:I34</t>
  </si>
  <si>
    <t>DH-0032</t>
  </si>
  <si>
    <t>2026-04-24 00:00:00</t>
  </si>
  <si>
    <t>Ngọc t1</t>
  </si>
  <si>
    <t>Pin áo điều hoà</t>
  </si>
  <si>
    <t>Đơn hàng đã bán!A35:I35</t>
  </si>
  <si>
    <t>DH-0033</t>
  </si>
  <si>
    <t>2026-05-04 00:00:00</t>
  </si>
  <si>
    <t>Lê Tâm</t>
  </si>
  <si>
    <t>Pin 20cell</t>
  </si>
  <si>
    <t>Đơn hàng đã bán!A36:I36</t>
  </si>
  <si>
    <t>DH-0034</t>
  </si>
  <si>
    <t>2026-05-05 00:00:00</t>
  </si>
  <si>
    <t>Nguyễn phước Thiện</t>
  </si>
  <si>
    <t>Bình 12v30ah+quạt 12v</t>
  </si>
  <si>
    <t>Đơn hàng đã bán!A37:I37</t>
  </si>
  <si>
    <t>DH-0035</t>
  </si>
  <si>
    <t>Tuấn công an</t>
  </si>
  <si>
    <t>1pin 15cell1 xạc</t>
  </si>
  <si>
    <t>Đơn hàng đã bán!A38:I38</t>
  </si>
  <si>
    <t>DH-0036</t>
  </si>
  <si>
    <t>Chính xe</t>
  </si>
  <si>
    <t>1 pin 15cell</t>
  </si>
  <si>
    <t>Đơn hàng đã bán!A39:I39</t>
  </si>
  <si>
    <t>DH-0037</t>
  </si>
  <si>
    <t>Ánh đội 15</t>
  </si>
  <si>
    <t>1 pin 16v</t>
  </si>
  <si>
    <t>Đơn hàng đã bán!A40:I40</t>
  </si>
  <si>
    <t>DH-0038</t>
  </si>
  <si>
    <t>DH-0039</t>
  </si>
  <si>
    <t>DH-0040</t>
  </si>
  <si>
    <t>DH-0041</t>
  </si>
  <si>
    <t>DH-0042</t>
  </si>
  <si>
    <t>DH-0043</t>
  </si>
  <si>
    <t>DH-0044</t>
  </si>
  <si>
    <t>DH-0045</t>
  </si>
  <si>
    <t>DH-0046</t>
  </si>
  <si>
    <t>DH-0047</t>
  </si>
  <si>
    <t>DH-0048</t>
  </si>
  <si>
    <t>DH-0049</t>
  </si>
  <si>
    <t>DH-0050</t>
  </si>
  <si>
    <t>DH-0051</t>
  </si>
  <si>
    <t>DH-0052</t>
  </si>
  <si>
    <t>DH-0053</t>
  </si>
  <si>
    <t>DH-0054</t>
  </si>
  <si>
    <t>DH-0055</t>
  </si>
  <si>
    <t>DH-0056</t>
  </si>
  <si>
    <t>DH-0057</t>
  </si>
  <si>
    <t>DH-0058</t>
  </si>
  <si>
    <t>DH-0059</t>
  </si>
  <si>
    <t>DH-0060</t>
  </si>
  <si>
    <t>DH-0061</t>
  </si>
  <si>
    <t>DH-0062</t>
  </si>
  <si>
    <t>DH-0063</t>
  </si>
  <si>
    <t>DH-0064</t>
  </si>
  <si>
    <t>DH-0065</t>
  </si>
  <si>
    <t>DH-0066</t>
  </si>
  <si>
    <t>DH-0067</t>
  </si>
  <si>
    <t>DH-0068</t>
  </si>
  <si>
    <t>DH-0069</t>
  </si>
  <si>
    <t>DH-0070</t>
  </si>
  <si>
    <t>DH-0071</t>
  </si>
  <si>
    <t>DH-0072</t>
  </si>
  <si>
    <t>DH-0073</t>
  </si>
  <si>
    <t>DH-0074</t>
  </si>
  <si>
    <t>DH-0075</t>
  </si>
  <si>
    <t>DH-0076</t>
  </si>
  <si>
    <t>DH-0077</t>
  </si>
  <si>
    <t>DH-0078</t>
  </si>
  <si>
    <t>DH-0079</t>
  </si>
  <si>
    <t>DH-0080</t>
  </si>
  <si>
    <t>DH-0081</t>
  </si>
  <si>
    <t>DH-0082</t>
  </si>
  <si>
    <t>DH-0083</t>
  </si>
  <si>
    <t>DH-0084</t>
  </si>
  <si>
    <t>DH-0085</t>
  </si>
  <si>
    <t>DH-0086</t>
  </si>
  <si>
    <t>DH-0087</t>
  </si>
  <si>
    <t>DH-0088</t>
  </si>
  <si>
    <t>DH-0089</t>
  </si>
  <si>
    <t>DH-0090</t>
  </si>
  <si>
    <t>DH-0091</t>
  </si>
  <si>
    <t>DH-0092</t>
  </si>
  <si>
    <t>DH-0093</t>
  </si>
  <si>
    <t>DH-0094</t>
  </si>
  <si>
    <t>DH-0095</t>
  </si>
  <si>
    <t>DH-0096</t>
  </si>
  <si>
    <t>DH-0097</t>
  </si>
  <si>
    <t>DH-0098</t>
  </si>
  <si>
    <t>DH-0099</t>
  </si>
  <si>
    <t>DH-0100</t>
  </si>
  <si>
    <t>DH-0101</t>
  </si>
  <si>
    <t>DH-0102</t>
  </si>
  <si>
    <t>DH-0103</t>
  </si>
  <si>
    <t>DH-0104</t>
  </si>
  <si>
    <t>DH-0105</t>
  </si>
  <si>
    <t>DH-0106</t>
  </si>
  <si>
    <t>DH-0107</t>
  </si>
  <si>
    <t>DH-0108</t>
  </si>
  <si>
    <t>DH-0109</t>
  </si>
  <si>
    <t>DH-0110</t>
  </si>
  <si>
    <t>DH-0111</t>
  </si>
  <si>
    <t>DH-0112</t>
  </si>
  <si>
    <t>DH-0113</t>
  </si>
  <si>
    <t>DH-0114</t>
  </si>
  <si>
    <t>DH-0115</t>
  </si>
  <si>
    <t>DH-0116</t>
  </si>
  <si>
    <t>DH-0117</t>
  </si>
  <si>
    <t>DH-0118</t>
  </si>
  <si>
    <t>DH-0119</t>
  </si>
  <si>
    <t>DH-0120</t>
  </si>
  <si>
    <t>DH-0121</t>
  </si>
  <si>
    <t>DH-0122</t>
  </si>
  <si>
    <t>DH-0123</t>
  </si>
  <si>
    <t>DH-0124</t>
  </si>
  <si>
    <t>DH-0125</t>
  </si>
  <si>
    <t>DH-0126</t>
  </si>
  <si>
    <t>DH-0127</t>
  </si>
  <si>
    <t>DH-0128</t>
  </si>
  <si>
    <t>DH-0129</t>
  </si>
  <si>
    <t>DH-0130</t>
  </si>
  <si>
    <t>DH-0131</t>
  </si>
  <si>
    <t>DH-0132</t>
  </si>
  <si>
    <t>DH-0133</t>
  </si>
  <si>
    <t>DH-0134</t>
  </si>
  <si>
    <t>DH-0135</t>
  </si>
  <si>
    <t>DH-0136</t>
  </si>
  <si>
    <t>DH-0137</t>
  </si>
  <si>
    <t>DH-0138</t>
  </si>
  <si>
    <t>Tên đối tác</t>
  </si>
  <si>
    <t>Vai trò</t>
  </si>
  <si>
    <t>Trạng thái/Ghi chú</t>
  </si>
  <si>
    <t>Đối tác công nợ chính hiện tại</t>
  </si>
  <si>
    <t>Đang theo dõi</t>
  </si>
  <si>
    <t>Nhà cung cấp/nguồn bán gốc từ sheet cũ</t>
  </si>
  <si>
    <t>Tùy dùng</t>
  </si>
  <si>
    <t>Dùng tạm khi chưa biết tên đối tác</t>
  </si>
  <si>
    <t>Mức</t>
  </si>
  <si>
    <t>Vấn đề</t>
  </si>
  <si>
    <t>Cách xử lý đề xuất</t>
  </si>
  <si>
    <t>Cần xác nhận</t>
  </si>
  <si>
    <t>Tab Sheet1 có ô tổng cũ chỉ cộng một vùng cố định (G4:G41), trong khi file còn các dòng vật tư phía dưới.</t>
  </si>
  <si>
    <t>Dùng tab Nhập hàng trong bản copy này để tổng công nợ cộng toàn bộ dòng đã chuẩn hóa.</t>
  </si>
  <si>
    <t>Tab Tiền chuyển cho long có chữ nhắc tới 50tr nhưng ô số tiền đọc được là 45.000.000.</t>
  </si>
  <si>
    <t>Hỏi Minh Hồng/anh Long chốt đúng tổng đã chuyển. Nếu đúng 50tr, sửa số ở tab Thanh toán.</t>
  </si>
  <si>
    <t>Bản copy đang gán mặc định các dòng nhập hàng cũ vào công nợ Long vì tab thanh toán hiện chỉ theo Long.</t>
  </si>
  <si>
    <t>Nếu dòng nào là mua trực tiếp từ đối tác khác, đổi cột Đối tác công nợ ở tab Nhập hàng sang đúng tên đối tác.</t>
  </si>
  <si>
    <t>Dữ liệu cũ</t>
  </si>
  <si>
    <t>Nhiều dòng nhập hàng thiếu ngày, đơn vị, đơn giá hoặc người bán gốc.</t>
  </si>
  <si>
    <t>Từ nay nhập theo tab Nhập hàng để công thức dễ kiểm tra.</t>
  </si>
  <si>
    <t>Tab Đơn hàng đã bán có số điện thoại/ngày mua/chú thích nằm ở nhiều cột khác nhau.</t>
  </si>
  <si>
    <t>Rà soát tab Đơn khách trước khi import lên web.</t>
  </si>
  <si>
    <t>Tổng tiền đơn khách 34.640.000 trừ đã thu 26.150.000 bằng 8.490.000, nhưng ô nợ còn cũ đang là 7.890.000.</t>
  </si>
  <si>
    <t>Rà soát các dòng còn nợ trong tab Đơn khách; bản copy tính lại còn nợ theo từng dòng bằng Tổng tiền - Đã thu.</t>
  </si>
  <si>
    <t>THỐNG KÊ THU CHI VẬT TƯ- DỤNG CỤ - ĐỒ NGHỀ</t>
  </si>
  <si>
    <t>@</t>
  </si>
  <si>
    <t xml:space="preserve">HỒNG CHUYỂN  KHOẢN </t>
  </si>
  <si>
    <t>Ngày/tháng/năm</t>
  </si>
  <si>
    <t>TÊN</t>
  </si>
  <si>
    <t>SL</t>
  </si>
  <si>
    <t xml:space="preserve">ĐƠN GIÁ </t>
  </si>
  <si>
    <t>THÀNH  TIỀN</t>
  </si>
  <si>
    <t>GHI CHÚ</t>
  </si>
  <si>
    <t>Người bán</t>
  </si>
  <si>
    <t>TỪ NGÀY RA ĐẾN 24/09/2025</t>
  </si>
  <si>
    <t>TỔNG CỘNG.43.000.000</t>
  </si>
  <si>
    <t xml:space="preserve">40 Khay cân 21700 </t>
  </si>
  <si>
    <t>2/3/2026.ck 2000000</t>
  </si>
  <si>
    <t xml:space="preserve">Nguồn 5V cũ </t>
  </si>
  <si>
    <t xml:space="preserve">Trần Viết Cường </t>
  </si>
  <si>
    <t>Mượn</t>
  </si>
  <si>
    <t>16 CELL</t>
  </si>
  <si>
    <t>100k</t>
  </si>
  <si>
    <t xml:space="preserve">Ở bệnh viện đa khoa </t>
  </si>
  <si>
    <t>60 cell</t>
  </si>
  <si>
    <t>16cell</t>
  </si>
  <si>
    <t>0,5kg</t>
  </si>
  <si>
    <t>hai mươi triệu hai trăm  ba mươi nghìn</t>
  </si>
  <si>
    <t>45 000 000</t>
  </si>
  <si>
    <t>NHỮNG ĐƠN HÀNG TRẢ LẠI CHO LONG</t>
  </si>
  <si>
    <t>STT</t>
  </si>
  <si>
    <t>TÊN ĐƠN HÀNG</t>
  </si>
  <si>
    <t>SỐ LƯỢNG</t>
  </si>
  <si>
    <t>THÀNH TIỀN</t>
  </si>
  <si>
    <t>5V</t>
  </si>
  <si>
    <t>6V</t>
  </si>
  <si>
    <t>ĐƠN HÀNG ĐÃ BÁN CHO KHÁCH</t>
  </si>
  <si>
    <t>Sđt</t>
  </si>
  <si>
    <t xml:space="preserve">Ngày mua </t>
  </si>
  <si>
    <t xml:space="preserve">Số điện thoại </t>
  </si>
  <si>
    <t>TÊN FB</t>
  </si>
  <si>
    <t>SẢN PHẨM</t>
  </si>
  <si>
    <t>SỐ ĐIỆN THOẠI</t>
  </si>
  <si>
    <t>SỐ TIỀN</t>
  </si>
  <si>
    <t>TRẢ</t>
  </si>
  <si>
    <t>CÒN</t>
  </si>
  <si>
    <t>Chú thích</t>
  </si>
  <si>
    <t>Tổng tiền:</t>
  </si>
  <si>
    <t>Tổng đã thu:</t>
  </si>
  <si>
    <t>Nợ còn:</t>
  </si>
  <si>
    <t xml:space="preserve">Pin10-15cell,sạc </t>
  </si>
  <si>
    <t xml:space="preserve">Pin áo </t>
  </si>
  <si>
    <t>086 9029139</t>
  </si>
  <si>
    <t xml:space="preserve">Đèn năng lượng </t>
  </si>
  <si>
    <t>039 7504447</t>
  </si>
  <si>
    <t xml:space="preserve">Pin áo điều hòa </t>
  </si>
  <si>
    <t xml:space="preserve">Pin áo điều hoà </t>
  </si>
  <si>
    <t xml:space="preserve">Nguyễn phước Thiện </t>
  </si>
  <si>
    <t xml:space="preserve">Tuấn công an </t>
  </si>
  <si>
    <t xml:space="preserve">Chính xe </t>
  </si>
  <si>
    <t xml:space="preserve">Từ đầu đến ngày 2/3/2026 tc ck cho long là 45tr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</si>
</sst>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d/m/yyyy"/>
    <numFmt numFmtId="165" formatCode="#,##0\ [$đ-42A]"/>
    <numFmt numFmtId="166" formatCode="d/m/yy"/>
    <numFmt numFmtId="167" formatCode="#,##0\ &quot;đ&quot;"/>
  </numFmts>
  <fonts count="14" x14ac:knownFonts="1">
    <font>
      <sz val="11"/>
      <color theme="1"/>
      <name val="Calibri"/>
      <scheme val="minor"/>
    </font>
    <font>
      <b/>
      <sz val="20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</font>
    <font>
      <b/>
      <sz val="14"/>
      <color theme="1"/>
      <name val="Calibri"/>
      <family val="2"/>
    </font>
    <font>
      <sz val="11"/>
      <color theme="0"/>
      <name val="Calibri"/>
      <family val="2"/>
    </font>
    <font>
      <b/>
      <sz val="11"/>
      <color rgb="FFFFFFFF"/>
      <name val="Calibri"/>
      <family val="2"/>
    </font>
    <font>
      <b/>
      <sz val="11"/>
      <name val="Calibri"/>
      <family val="2"/>
    </font>
    <font>
      <b/>
      <sz val="16"/>
      <color rgb="FF111827"/>
      <name val="Calibri"/>
      <family val="2"/>
    </font>
    <font>
      <b/>
      <sz val="16"/>
      <name val="Calibri"/>
      <family val="2"/>
    </font>
    <font>
      <b/>
      <sz val="11"/>
      <color rgb="FF111827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D99594"/>
        <bgColor rgb="FFD99594"/>
      </patternFill>
    </fill>
    <fill>
      <patternFill patternType="solid">
        <fgColor rgb="FFC2D69B"/>
        <bgColor rgb="FFC2D69B"/>
      </patternFill>
    </fill>
    <fill>
      <patternFill patternType="solid">
        <fgColor rgb="FFFFFFFF"/>
        <bgColor rgb="FFFFFFFF"/>
      </patternFill>
    </fill>
    <fill>
      <patternFill patternType="solid">
        <fgColor theme="6"/>
        <bgColor theme="6"/>
      </patternFill>
    </fill>
    <fill>
      <patternFill patternType="solid">
        <fgColor rgb="FFB6DDE8"/>
        <bgColor rgb="FFB6DDE8"/>
      </patternFill>
    </fill>
    <fill>
      <patternFill patternType="solid">
        <fgColor rgb="FFFF3300"/>
        <bgColor rgb="FFFF3300"/>
      </patternFill>
    </fill>
    <fill>
      <patternFill patternType="solid">
        <fgColor rgb="FF1F2937"/>
      </patternFill>
    </fill>
    <fill>
      <patternFill patternType="solid">
        <fgColor rgb="FFEFF6FF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horizontal="left"/>
    </xf>
    <xf numFmtId="3" fontId="2" fillId="0" borderId="0" xfId="0" applyNumberFormat="1" applyFont="1" applyAlignment="1">
      <alignment horizontal="right"/>
    </xf>
    <xf numFmtId="3" fontId="2" fillId="0" borderId="0" xfId="0" applyNumberFormat="1" applyFont="1"/>
    <xf numFmtId="3" fontId="2" fillId="0" borderId="0" xfId="0" applyNumberFormat="1" applyFont="1" applyAlignment="1">
      <alignment horizontal="left"/>
    </xf>
    <xf numFmtId="0" fontId="2" fillId="0" borderId="0" xfId="0" applyFont="1" applyAlignment="1">
      <alignment horizontal="right"/>
    </xf>
    <xf numFmtId="0" fontId="4" fillId="0" borderId="0" xfId="0" applyFont="1" applyAlignment="1">
      <alignment horizontal="right"/>
    </xf>
    <xf numFmtId="164" fontId="3" fillId="0" borderId="0" xfId="0" applyNumberFormat="1" applyFont="1"/>
    <xf numFmtId="3" fontId="3" fillId="0" borderId="0" xfId="0" applyNumberFormat="1" applyFont="1"/>
    <xf numFmtId="0" fontId="3" fillId="0" borderId="1" xfId="0" applyFont="1" applyBorder="1"/>
    <xf numFmtId="14" fontId="3" fillId="0" borderId="0" xfId="0" applyNumberFormat="1" applyFont="1"/>
    <xf numFmtId="164" fontId="5" fillId="0" borderId="0" xfId="0" applyNumberFormat="1" applyFont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vertical="center"/>
    </xf>
    <xf numFmtId="3" fontId="2" fillId="0" borderId="0" xfId="0" applyNumberFormat="1" applyFont="1" applyAlignment="1">
      <alignment vertical="center"/>
    </xf>
    <xf numFmtId="3" fontId="2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/>
    <xf numFmtId="3" fontId="2" fillId="4" borderId="0" xfId="0" applyNumberFormat="1" applyFont="1" applyFill="1"/>
    <xf numFmtId="0" fontId="4" fillId="0" borderId="0" xfId="0" applyFont="1" applyAlignment="1">
      <alignment horizontal="center" vertical="center"/>
    </xf>
    <xf numFmtId="3" fontId="2" fillId="5" borderId="2" xfId="0" applyNumberFormat="1" applyFont="1" applyFill="1" applyBorder="1"/>
    <xf numFmtId="0" fontId="2" fillId="0" borderId="0" xfId="0" applyFont="1" applyAlignment="1">
      <alignment horizontal="right" vertical="center"/>
    </xf>
    <xf numFmtId="165" fontId="2" fillId="0" borderId="0" xfId="0" applyNumberFormat="1" applyFont="1" applyAlignment="1">
      <alignment vertical="center"/>
    </xf>
    <xf numFmtId="165" fontId="2" fillId="0" borderId="0" xfId="0" applyNumberFormat="1" applyFont="1" applyAlignment="1">
      <alignment horizontal="right" vertical="center"/>
    </xf>
    <xf numFmtId="3" fontId="2" fillId="6" borderId="2" xfId="0" applyNumberFormat="1" applyFont="1" applyFill="1" applyBorder="1"/>
    <xf numFmtId="3" fontId="8" fillId="7" borderId="2" xfId="0" applyNumberFormat="1" applyFont="1" applyFill="1" applyBorder="1"/>
    <xf numFmtId="166" fontId="3" fillId="0" borderId="0" xfId="0" applyNumberFormat="1" applyFont="1"/>
    <xf numFmtId="0" fontId="4" fillId="0" borderId="0" xfId="0" applyFont="1" applyAlignment="1">
      <alignment vertical="center"/>
    </xf>
    <xf numFmtId="0" fontId="0" fillId="0" borderId="3" xfId="0" applyBorder="1" applyAlignment="1">
      <alignment vertical="top" wrapText="1"/>
    </xf>
    <xf numFmtId="0" fontId="13" fillId="0" borderId="3" xfId="0" applyFont="1" applyBorder="1" applyAlignment="1">
      <alignment vertical="top" wrapText="1"/>
    </xf>
    <xf numFmtId="0" fontId="10" fillId="0" borderId="3" xfId="0" applyFont="1" applyBorder="1" applyAlignment="1">
      <alignment vertical="top" wrapText="1"/>
    </xf>
    <xf numFmtId="167" fontId="0" fillId="9" borderId="3" xfId="0" applyNumberFormat="1" applyFill="1" applyBorder="1" applyAlignment="1">
      <alignment vertical="top" wrapText="1"/>
    </xf>
    <xf numFmtId="0" fontId="9" fillId="8" borderId="3" xfId="0" applyFont="1" applyFill="1" applyBorder="1" applyAlignment="1">
      <alignment vertical="top" wrapText="1"/>
    </xf>
    <xf numFmtId="0" fontId="0" fillId="9" borderId="3" xfId="0" applyFill="1" applyBorder="1" applyAlignment="1">
      <alignment vertical="top" wrapText="1"/>
    </xf>
    <xf numFmtId="167" fontId="0" fillId="0" borderId="3" xfId="0" applyNumberFormat="1" applyBorder="1" applyAlignment="1">
      <alignment vertical="top" wrapText="1"/>
    </xf>
    <xf numFmtId="167" fontId="10" fillId="9" borderId="3" xfId="0" applyNumberFormat="1" applyFont="1" applyFill="1" applyBorder="1" applyAlignment="1">
      <alignment vertical="top" wrapText="1"/>
    </xf>
    <xf numFmtId="0" fontId="12" fillId="0" borderId="3" xfId="0" applyFont="1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11" fillId="0" borderId="3" xfId="0" applyFont="1" applyBorder="1" applyAlignment="1">
      <alignment vertical="top" wrapText="1"/>
    </xf>
    <xf numFmtId="0" fontId="6" fillId="2" borderId="2" xfId="0" applyFont="1" applyFill="1" applyBorder="1" applyAlignment="1">
      <alignment horizontal="center"/>
    </xf>
    <xf numFmtId="0" fontId="0" fillId="0" borderId="0" xfId="0"/>
    <xf numFmtId="0" fontId="7" fillId="3" borderId="2" xfId="0" applyFont="1" applyFill="1" applyBorder="1" applyAlignment="1">
      <alignment horizontal="center"/>
    </xf>
    <xf numFmtId="0" fontId="3" fillId="0" borderId="3" xfId="0" applyFont="1" applyBorder="1" applyAlignment="1">
      <alignment vertical="top" wrapText="1"/>
    </xf>
  </cellXfs>
  <cellStyles count="1">
    <cellStyle name="Обычный" xfId="0" builtinId="0"/>
  </cellStyles>
  <dxfs count="10">
    <dxf>
      <fill>
        <patternFill patternType="solid">
          <fgColor rgb="FFDBEAFE"/>
        </patternFill>
      </fill>
    </dxf>
    <dxf>
      <fill>
        <patternFill patternType="solid">
          <fgColor rgb="FFFEE2E2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2" defaultTableStyle="TableStyleMedium9" defaultPivotStyle="PivotStyleLight16">
    <tableStyle name="Đơn trả lại-style" pivot="0" count="4" xr9:uid="{00000000-0011-0000-FFFF-FFFF00000000}">
      <tableStyleElement type="wholeTable" size="0" dxfId="6"/>
      <tableStyleElement type="headerRow" dxfId="9"/>
      <tableStyleElement type="firstRowStripe" dxfId="8"/>
      <tableStyleElement type="secondRowStripe" dxfId="7"/>
    </tableStyle>
    <tableStyle name="Đơn hàng đã bán-style" pivot="0" count="4" xr9:uid="{00000000-0011-0000-FFFF-FFFF01000000}">
      <tableStyleElement type="wholeTable" size="0" dxfId="2"/>
      <tableStyleElement type="headerRow" dxfId="5"/>
      <tableStyleElement type="firstRowStripe" dxfId="4"/>
      <tableStyleElement type="secondRowStripe" dxfId="3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Bảng_2" displayName="Bảng_2" ref="A3:E7">
  <tableColumns count="5">
    <tableColumn id="1" xr3:uid="{00000000-0010-0000-0000-000001000000}" name="STT"/>
    <tableColumn id="2" xr3:uid="{00000000-0010-0000-0000-000002000000}" name="TÊN ĐƠN HÀNG"/>
    <tableColumn id="3" xr3:uid="{00000000-0010-0000-0000-000003000000}" name="Loại"/>
    <tableColumn id="4" xr3:uid="{00000000-0010-0000-0000-000004000000}" name="SỐ LƯỢNG"/>
    <tableColumn id="5" xr3:uid="{00000000-0010-0000-0000-000005000000}" name="THÀNH TIỀN"/>
  </tableColumns>
  <tableStyleInfo name="Đơn trả lại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Bảng_1" displayName="Bảng_1" ref="A3:F51">
  <tableColumns count="6">
    <tableColumn id="1" xr3:uid="{00000000-0010-0000-0100-000001000000}" name="TÊN FB"/>
    <tableColumn id="2" xr3:uid="{00000000-0010-0000-0100-000002000000}" name="SẢN PHẨM"/>
    <tableColumn id="3" xr3:uid="{00000000-0010-0000-0100-000003000000}" name="SỐ ĐIỆN THOẠI"/>
    <tableColumn id="4" xr3:uid="{00000000-0010-0000-0100-000004000000}" name="SỐ TIỀN"/>
    <tableColumn id="5" xr3:uid="{00000000-0010-0000-0100-000005000000}" name="TRẢ"/>
    <tableColumn id="6" xr3:uid="{00000000-0010-0000-0100-000006000000}" name="CÒN"/>
  </tableColumns>
  <tableStyleInfo name="Đơn hàng đã bán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showGridLines="0" workbookViewId="0">
      <selection activeCell="B7" sqref="B7"/>
    </sheetView>
  </sheetViews>
  <sheetFormatPr defaultRowHeight="15" x14ac:dyDescent="0.25"/>
  <cols>
    <col min="1" max="1" width="24" customWidth="1"/>
    <col min="2" max="2" width="86" customWidth="1"/>
    <col min="3" max="3" width="16" customWidth="1"/>
  </cols>
  <sheetData>
    <row r="1" spans="1:3" ht="27.95" customHeight="1" x14ac:dyDescent="0.25">
      <c r="A1" s="41" t="s">
        <v>0</v>
      </c>
      <c r="B1" s="42"/>
      <c r="C1" s="42"/>
    </row>
    <row r="2" spans="1:3" x14ac:dyDescent="0.25">
      <c r="A2" s="33"/>
      <c r="B2" s="33"/>
      <c r="C2" s="33"/>
    </row>
    <row r="3" spans="1:3" x14ac:dyDescent="0.25">
      <c r="A3" s="34" t="s">
        <v>1</v>
      </c>
      <c r="B3" s="33" t="s">
        <v>2</v>
      </c>
      <c r="C3" s="33"/>
    </row>
    <row r="4" spans="1:3" ht="30" x14ac:dyDescent="0.25">
      <c r="A4" s="34" t="s">
        <v>3</v>
      </c>
      <c r="B4" s="33" t="s">
        <v>4</v>
      </c>
      <c r="C4" s="33"/>
    </row>
    <row r="5" spans="1:3" x14ac:dyDescent="0.25">
      <c r="A5" s="34" t="s">
        <v>5</v>
      </c>
      <c r="B5" s="33" t="s">
        <v>6</v>
      </c>
      <c r="C5" s="33"/>
    </row>
    <row r="6" spans="1:3" x14ac:dyDescent="0.25">
      <c r="A6" s="34" t="s">
        <v>7</v>
      </c>
      <c r="B6" s="33" t="s">
        <v>8</v>
      </c>
      <c r="C6" s="33"/>
    </row>
    <row r="7" spans="1:3" x14ac:dyDescent="0.25">
      <c r="A7" s="34" t="s">
        <v>9</v>
      </c>
      <c r="B7" s="33" t="s">
        <v>10</v>
      </c>
      <c r="C7" s="33"/>
    </row>
    <row r="8" spans="1:3" x14ac:dyDescent="0.25">
      <c r="A8" s="34" t="s">
        <v>11</v>
      </c>
      <c r="B8" s="33" t="s">
        <v>12</v>
      </c>
      <c r="C8" s="33"/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2"/>
  <sheetViews>
    <sheetView showGridLines="0" tabSelected="1" workbookViewId="0">
      <selection sqref="A1:D1"/>
    </sheetView>
  </sheetViews>
  <sheetFormatPr defaultRowHeight="15" x14ac:dyDescent="0.25"/>
  <cols>
    <col min="1" max="1" width="32" customWidth="1"/>
    <col min="2" max="2" width="64" customWidth="1"/>
    <col min="3" max="4" width="16" customWidth="1"/>
  </cols>
  <sheetData>
    <row r="1" spans="1:4" ht="27.95" customHeight="1" x14ac:dyDescent="0.25">
      <c r="A1" s="43" t="s">
        <v>13</v>
      </c>
      <c r="B1" s="42"/>
      <c r="C1" s="42"/>
      <c r="D1" s="42"/>
    </row>
    <row r="2" spans="1:4" x14ac:dyDescent="0.25">
      <c r="A2" s="33"/>
      <c r="B2" s="33"/>
      <c r="C2" s="33"/>
      <c r="D2" s="33"/>
    </row>
    <row r="3" spans="1:4" x14ac:dyDescent="0.25">
      <c r="A3" s="35" t="s">
        <v>14</v>
      </c>
      <c r="B3" s="36">
        <f>'Công nợ đối tác'!B13</f>
        <v>66445500</v>
      </c>
      <c r="C3" s="33"/>
      <c r="D3" s="33"/>
    </row>
    <row r="4" spans="1:4" x14ac:dyDescent="0.25">
      <c r="A4" s="35" t="s">
        <v>15</v>
      </c>
      <c r="B4" s="36">
        <f>'Công nợ đối tác'!C13</f>
        <v>45000000</v>
      </c>
      <c r="C4" s="33"/>
      <c r="D4" s="33"/>
    </row>
    <row r="5" spans="1:4" x14ac:dyDescent="0.25">
      <c r="A5" s="35" t="s">
        <v>16</v>
      </c>
      <c r="B5" s="36">
        <f>'Công nợ đối tác'!D13</f>
        <v>1500000</v>
      </c>
      <c r="C5" s="33"/>
      <c r="D5" s="33"/>
    </row>
    <row r="6" spans="1:4" x14ac:dyDescent="0.25">
      <c r="A6" s="35" t="s">
        <v>17</v>
      </c>
      <c r="B6" s="36">
        <f>'Công nợ đối tác'!E13</f>
        <v>19945500</v>
      </c>
      <c r="C6" s="33"/>
      <c r="D6" s="33"/>
    </row>
    <row r="7" spans="1:4" x14ac:dyDescent="0.25">
      <c r="A7" s="35" t="s">
        <v>18</v>
      </c>
      <c r="B7" s="36">
        <f>SUM('Đơn khách'!F:F)</f>
        <v>34640000</v>
      </c>
      <c r="C7" s="33"/>
      <c r="D7" s="33"/>
    </row>
    <row r="8" spans="1:4" x14ac:dyDescent="0.25">
      <c r="A8" s="35" t="s">
        <v>19</v>
      </c>
      <c r="B8" s="36">
        <f>SUM('Đơn khách'!G:G)</f>
        <v>26150000</v>
      </c>
      <c r="C8" s="33"/>
      <c r="D8" s="33"/>
    </row>
    <row r="9" spans="1:4" x14ac:dyDescent="0.25">
      <c r="A9" s="35" t="s">
        <v>20</v>
      </c>
      <c r="B9" s="36">
        <f>SUM('Đơn khách'!H:H)</f>
        <v>8490000</v>
      </c>
      <c r="C9" s="33"/>
      <c r="D9" s="33"/>
    </row>
    <row r="10" spans="1:4" x14ac:dyDescent="0.25">
      <c r="A10" s="33"/>
      <c r="B10" s="33"/>
      <c r="C10" s="33"/>
      <c r="D10" s="33"/>
    </row>
    <row r="11" spans="1:4" x14ac:dyDescent="0.25">
      <c r="A11" s="33"/>
      <c r="B11" s="33"/>
      <c r="C11" s="33"/>
      <c r="D11" s="33"/>
    </row>
    <row r="12" spans="1:4" ht="30" x14ac:dyDescent="0.25">
      <c r="A12" s="35" t="s">
        <v>21</v>
      </c>
      <c r="B12" s="33" t="s">
        <v>22</v>
      </c>
      <c r="C12" s="33"/>
      <c r="D12" s="33"/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3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24" customWidth="1"/>
    <col min="2" max="2" width="20" customWidth="1"/>
    <col min="3" max="4" width="18" customWidth="1"/>
    <col min="5" max="5" width="22" customWidth="1"/>
    <col min="6" max="6" width="28" customWidth="1"/>
    <col min="7" max="7" width="34" customWidth="1"/>
  </cols>
  <sheetData>
    <row r="1" spans="1:7" ht="27.95" customHeight="1" x14ac:dyDescent="0.25">
      <c r="A1" s="37" t="s">
        <v>23</v>
      </c>
      <c r="B1" s="37" t="s">
        <v>24</v>
      </c>
      <c r="C1" s="37" t="s">
        <v>25</v>
      </c>
      <c r="D1" s="37" t="s">
        <v>26</v>
      </c>
      <c r="E1" s="37" t="s">
        <v>27</v>
      </c>
      <c r="F1" s="37" t="s">
        <v>28</v>
      </c>
      <c r="G1" s="37" t="s">
        <v>29</v>
      </c>
    </row>
    <row r="2" spans="1:7" x14ac:dyDescent="0.25">
      <c r="A2" s="33" t="s">
        <v>30</v>
      </c>
      <c r="B2" s="36">
        <f>SUMIFS('Nhập hàng'!$J:$J,'Nhập hàng'!$C:$C,A2)</f>
        <v>66445500</v>
      </c>
      <c r="C2" s="36">
        <f>SUMIFS('Thanh toán'!$D:$D,'Thanh toán'!$C:$C,A2)</f>
        <v>45000000</v>
      </c>
      <c r="D2" s="36">
        <f>SUMIFS('Trả hàng'!$H:$H,'Trả hàng'!$C:$C,A2)</f>
        <v>1500000</v>
      </c>
      <c r="E2" s="36">
        <f t="shared" ref="E2:E11" si="0">B2-C2-D2</f>
        <v>19945500</v>
      </c>
      <c r="F2" s="38" t="str">
        <f t="shared" ref="F2:F11" si="1">IF(E2&gt;0,"Còn phải trả đối tác",IF(E2&lt;0,"Đã chuyển dư/tạm ứng","Đã cân bằng"))</f>
        <v>Còn phải trả đối tác</v>
      </c>
      <c r="G2" s="33"/>
    </row>
    <row r="3" spans="1:7" x14ac:dyDescent="0.25">
      <c r="A3" s="33" t="s">
        <v>31</v>
      </c>
      <c r="B3" s="36">
        <f>SUMIFS('Nhập hàng'!$J:$J,'Nhập hàng'!$C:$C,A3)</f>
        <v>0</v>
      </c>
      <c r="C3" s="36">
        <f>SUMIFS('Thanh toán'!$D:$D,'Thanh toán'!$C:$C,A3)</f>
        <v>0</v>
      </c>
      <c r="D3" s="36">
        <f>SUMIFS('Trả hàng'!$H:$H,'Trả hàng'!$C:$C,A3)</f>
        <v>0</v>
      </c>
      <c r="E3" s="36">
        <f t="shared" si="0"/>
        <v>0</v>
      </c>
      <c r="F3" s="38" t="str">
        <f t="shared" si="1"/>
        <v>Đã cân bằng</v>
      </c>
      <c r="G3" s="33"/>
    </row>
    <row r="4" spans="1:7" x14ac:dyDescent="0.25">
      <c r="A4" s="33" t="s">
        <v>32</v>
      </c>
      <c r="B4" s="36">
        <f>SUMIFS('Nhập hàng'!$J:$J,'Nhập hàng'!$C:$C,A4)</f>
        <v>0</v>
      </c>
      <c r="C4" s="36">
        <f>SUMIFS('Thanh toán'!$D:$D,'Thanh toán'!$C:$C,A4)</f>
        <v>0</v>
      </c>
      <c r="D4" s="36">
        <f>SUMIFS('Trả hàng'!$H:$H,'Trả hàng'!$C:$C,A4)</f>
        <v>0</v>
      </c>
      <c r="E4" s="36">
        <f t="shared" si="0"/>
        <v>0</v>
      </c>
      <c r="F4" s="38" t="str">
        <f t="shared" si="1"/>
        <v>Đã cân bằng</v>
      </c>
      <c r="G4" s="33"/>
    </row>
    <row r="5" spans="1:7" x14ac:dyDescent="0.25">
      <c r="A5" s="33" t="s">
        <v>33</v>
      </c>
      <c r="B5" s="36">
        <f>SUMIFS('Nhập hàng'!$J:$J,'Nhập hàng'!$C:$C,A5)</f>
        <v>0</v>
      </c>
      <c r="C5" s="36">
        <f>SUMIFS('Thanh toán'!$D:$D,'Thanh toán'!$C:$C,A5)</f>
        <v>0</v>
      </c>
      <c r="D5" s="36">
        <f>SUMIFS('Trả hàng'!$H:$H,'Trả hàng'!$C:$C,A5)</f>
        <v>0</v>
      </c>
      <c r="E5" s="36">
        <f t="shared" si="0"/>
        <v>0</v>
      </c>
      <c r="F5" s="38" t="str">
        <f t="shared" si="1"/>
        <v>Đã cân bằng</v>
      </c>
      <c r="G5" s="33"/>
    </row>
    <row r="6" spans="1:7" x14ac:dyDescent="0.25">
      <c r="A6" s="33" t="s">
        <v>34</v>
      </c>
      <c r="B6" s="36">
        <f>SUMIFS('Nhập hàng'!$J:$J,'Nhập hàng'!$C:$C,A6)</f>
        <v>0</v>
      </c>
      <c r="C6" s="36">
        <f>SUMIFS('Thanh toán'!$D:$D,'Thanh toán'!$C:$C,A6)</f>
        <v>0</v>
      </c>
      <c r="D6" s="36">
        <f>SUMIFS('Trả hàng'!$H:$H,'Trả hàng'!$C:$C,A6)</f>
        <v>0</v>
      </c>
      <c r="E6" s="36">
        <f t="shared" si="0"/>
        <v>0</v>
      </c>
      <c r="F6" s="38" t="str">
        <f t="shared" si="1"/>
        <v>Đã cân bằng</v>
      </c>
      <c r="G6" s="33"/>
    </row>
    <row r="7" spans="1:7" x14ac:dyDescent="0.25">
      <c r="A7" s="33" t="s">
        <v>35</v>
      </c>
      <c r="B7" s="36">
        <f>SUMIFS('Nhập hàng'!$J:$J,'Nhập hàng'!$C:$C,A7)</f>
        <v>0</v>
      </c>
      <c r="C7" s="36">
        <f>SUMIFS('Thanh toán'!$D:$D,'Thanh toán'!$C:$C,A7)</f>
        <v>0</v>
      </c>
      <c r="D7" s="36">
        <f>SUMIFS('Trả hàng'!$H:$H,'Trả hàng'!$C:$C,A7)</f>
        <v>0</v>
      </c>
      <c r="E7" s="36">
        <f t="shared" si="0"/>
        <v>0</v>
      </c>
      <c r="F7" s="38" t="str">
        <f t="shared" si="1"/>
        <v>Đã cân bằng</v>
      </c>
      <c r="G7" s="33"/>
    </row>
    <row r="8" spans="1:7" x14ac:dyDescent="0.25">
      <c r="A8" s="33" t="s">
        <v>36</v>
      </c>
      <c r="B8" s="36">
        <f>SUMIFS('Nhập hàng'!$J:$J,'Nhập hàng'!$C:$C,A8)</f>
        <v>0</v>
      </c>
      <c r="C8" s="36">
        <f>SUMIFS('Thanh toán'!$D:$D,'Thanh toán'!$C:$C,A8)</f>
        <v>0</v>
      </c>
      <c r="D8" s="36">
        <f>SUMIFS('Trả hàng'!$H:$H,'Trả hàng'!$C:$C,A8)</f>
        <v>0</v>
      </c>
      <c r="E8" s="36">
        <f t="shared" si="0"/>
        <v>0</v>
      </c>
      <c r="F8" s="38" t="str">
        <f t="shared" si="1"/>
        <v>Đã cân bằng</v>
      </c>
      <c r="G8" s="33"/>
    </row>
    <row r="9" spans="1:7" x14ac:dyDescent="0.25">
      <c r="A9" s="33" t="s">
        <v>37</v>
      </c>
      <c r="B9" s="36">
        <f>SUMIFS('Nhập hàng'!$J:$J,'Nhập hàng'!$C:$C,A9)</f>
        <v>0</v>
      </c>
      <c r="C9" s="36">
        <f>SUMIFS('Thanh toán'!$D:$D,'Thanh toán'!$C:$C,A9)</f>
        <v>0</v>
      </c>
      <c r="D9" s="36">
        <f>SUMIFS('Trả hàng'!$H:$H,'Trả hàng'!$C:$C,A9)</f>
        <v>0</v>
      </c>
      <c r="E9" s="36">
        <f t="shared" si="0"/>
        <v>0</v>
      </c>
      <c r="F9" s="38" t="str">
        <f t="shared" si="1"/>
        <v>Đã cân bằng</v>
      </c>
      <c r="G9" s="33"/>
    </row>
    <row r="10" spans="1:7" x14ac:dyDescent="0.25">
      <c r="A10" s="33" t="s">
        <v>38</v>
      </c>
      <c r="B10" s="36">
        <f>SUMIFS('Nhập hàng'!$J:$J,'Nhập hàng'!$C:$C,A10)</f>
        <v>0</v>
      </c>
      <c r="C10" s="36">
        <f>SUMIFS('Thanh toán'!$D:$D,'Thanh toán'!$C:$C,A10)</f>
        <v>0</v>
      </c>
      <c r="D10" s="36">
        <f>SUMIFS('Trả hàng'!$H:$H,'Trả hàng'!$C:$C,A10)</f>
        <v>0</v>
      </c>
      <c r="E10" s="36">
        <f t="shared" si="0"/>
        <v>0</v>
      </c>
      <c r="F10" s="38" t="str">
        <f t="shared" si="1"/>
        <v>Đã cân bằng</v>
      </c>
      <c r="G10" s="33"/>
    </row>
    <row r="11" spans="1:7" x14ac:dyDescent="0.25">
      <c r="A11" s="33" t="s">
        <v>39</v>
      </c>
      <c r="B11" s="36">
        <f>SUMIFS('Nhập hàng'!$J:$J,'Nhập hàng'!$C:$C,A11)</f>
        <v>0</v>
      </c>
      <c r="C11" s="36">
        <f>SUMIFS('Thanh toán'!$D:$D,'Thanh toán'!$C:$C,A11)</f>
        <v>0</v>
      </c>
      <c r="D11" s="36">
        <f>SUMIFS('Trả hàng'!$H:$H,'Trả hàng'!$C:$C,A11)</f>
        <v>0</v>
      </c>
      <c r="E11" s="36">
        <f t="shared" si="0"/>
        <v>0</v>
      </c>
      <c r="F11" s="38" t="str">
        <f t="shared" si="1"/>
        <v>Đã cân bằng</v>
      </c>
      <c r="G11" s="33"/>
    </row>
    <row r="12" spans="1:7" x14ac:dyDescent="0.25">
      <c r="A12" s="33"/>
      <c r="B12" s="39"/>
      <c r="C12" s="39"/>
      <c r="D12" s="39"/>
      <c r="E12" s="39"/>
      <c r="F12" s="33"/>
      <c r="G12" s="33"/>
    </row>
    <row r="13" spans="1:7" x14ac:dyDescent="0.25">
      <c r="A13" s="35" t="s">
        <v>40</v>
      </c>
      <c r="B13" s="40">
        <f>SUM(B2:B12)</f>
        <v>66445500</v>
      </c>
      <c r="C13" s="40">
        <f>SUM(C2:C12)</f>
        <v>45000000</v>
      </c>
      <c r="D13" s="40">
        <f>SUM(D2:D12)</f>
        <v>1500000</v>
      </c>
      <c r="E13" s="40">
        <f>SUM(E2:E12)</f>
        <v>19945500</v>
      </c>
      <c r="F13" s="33"/>
      <c r="G13" s="33"/>
    </row>
  </sheetData>
  <autoFilter ref="A1:G1" xr:uid="{00000000-0009-0000-0000-000002000000}"/>
  <conditionalFormatting sqref="E2:E13">
    <cfRule type="cellIs" dxfId="1" priority="1" operator="greaterThan">
      <formula>0</formula>
    </cfRule>
    <cfRule type="cellIs" dxfId="0" priority="2" operator="lessThan">
      <formula>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138"/>
  <sheetViews>
    <sheetView showGridLines="0" workbookViewId="0">
      <pane ySplit="1" topLeftCell="A50" activePane="bottomLeft" state="frozen"/>
      <selection pane="bottomLeft" activeCell="J40" sqref="J40"/>
    </sheetView>
  </sheetViews>
  <sheetFormatPr defaultRowHeight="15" x14ac:dyDescent="0.25"/>
  <cols>
    <col min="1" max="1" width="12" customWidth="1"/>
    <col min="2" max="2" width="14" customWidth="1"/>
    <col min="3" max="3" width="22" customWidth="1"/>
    <col min="4" max="4" width="24" customWidth="1"/>
    <col min="5" max="5" width="36" customWidth="1"/>
    <col min="6" max="11" width="16" customWidth="1"/>
    <col min="12" max="12" width="42" customWidth="1"/>
    <col min="13" max="13" width="18" customWidth="1"/>
  </cols>
  <sheetData>
    <row r="1" spans="1:13" ht="27.95" customHeight="1" x14ac:dyDescent="0.25">
      <c r="A1" s="37" t="s">
        <v>41</v>
      </c>
      <c r="B1" s="37" t="s">
        <v>42</v>
      </c>
      <c r="C1" s="37" t="s">
        <v>43</v>
      </c>
      <c r="D1" s="37" t="s">
        <v>44</v>
      </c>
      <c r="E1" s="37" t="s">
        <v>45</v>
      </c>
      <c r="F1" s="37" t="s">
        <v>46</v>
      </c>
      <c r="G1" s="37" t="s">
        <v>47</v>
      </c>
      <c r="H1" s="37" t="s">
        <v>48</v>
      </c>
      <c r="I1" s="37" t="s">
        <v>49</v>
      </c>
      <c r="J1" s="37" t="s">
        <v>50</v>
      </c>
      <c r="K1" s="37" t="s">
        <v>51</v>
      </c>
      <c r="L1" s="37" t="s">
        <v>29</v>
      </c>
      <c r="M1" s="37" t="s">
        <v>52</v>
      </c>
    </row>
    <row r="2" spans="1:13" x14ac:dyDescent="0.25">
      <c r="A2" s="33" t="s">
        <v>53</v>
      </c>
      <c r="B2" s="33"/>
      <c r="C2" s="33" t="s">
        <v>30</v>
      </c>
      <c r="D2" s="33" t="s">
        <v>31</v>
      </c>
      <c r="E2" s="33" t="s">
        <v>54</v>
      </c>
      <c r="F2" s="33" t="s">
        <v>55</v>
      </c>
      <c r="G2" s="33">
        <v>40</v>
      </c>
      <c r="H2" s="33"/>
      <c r="I2" s="39"/>
      <c r="J2" s="39">
        <v>637700</v>
      </c>
      <c r="K2" s="33" t="s">
        <v>56</v>
      </c>
      <c r="L2" s="33" t="s">
        <v>57</v>
      </c>
      <c r="M2" s="33" t="s">
        <v>58</v>
      </c>
    </row>
    <row r="3" spans="1:13" x14ac:dyDescent="0.25">
      <c r="A3" s="33" t="s">
        <v>59</v>
      </c>
      <c r="B3" s="33"/>
      <c r="C3" s="33" t="s">
        <v>30</v>
      </c>
      <c r="D3" s="33" t="s">
        <v>31</v>
      </c>
      <c r="E3" s="33" t="s">
        <v>60</v>
      </c>
      <c r="F3" s="33" t="s">
        <v>55</v>
      </c>
      <c r="G3" s="33">
        <v>50</v>
      </c>
      <c r="H3" s="33"/>
      <c r="I3" s="39"/>
      <c r="J3" s="39">
        <v>595300</v>
      </c>
      <c r="K3" s="33" t="s">
        <v>56</v>
      </c>
      <c r="L3" s="33" t="s">
        <v>57</v>
      </c>
      <c r="M3" s="33" t="s">
        <v>61</v>
      </c>
    </row>
    <row r="4" spans="1:13" x14ac:dyDescent="0.25">
      <c r="A4" s="33" t="s">
        <v>62</v>
      </c>
      <c r="B4" s="33"/>
      <c r="C4" s="33" t="s">
        <v>30</v>
      </c>
      <c r="D4" s="33"/>
      <c r="E4" s="33" t="s">
        <v>63</v>
      </c>
      <c r="F4" s="33" t="s">
        <v>55</v>
      </c>
      <c r="G4" s="33"/>
      <c r="H4" s="33"/>
      <c r="I4" s="39"/>
      <c r="J4" s="39">
        <v>5090000</v>
      </c>
      <c r="K4" s="33" t="s">
        <v>56</v>
      </c>
      <c r="L4" s="33" t="s">
        <v>64</v>
      </c>
      <c r="M4" s="33" t="s">
        <v>65</v>
      </c>
    </row>
    <row r="5" spans="1:13" x14ac:dyDescent="0.25">
      <c r="A5" s="33" t="s">
        <v>66</v>
      </c>
      <c r="B5" s="33"/>
      <c r="C5" s="33" t="s">
        <v>30</v>
      </c>
      <c r="D5" s="33"/>
      <c r="E5" s="33" t="s">
        <v>67</v>
      </c>
      <c r="F5" s="33" t="s">
        <v>55</v>
      </c>
      <c r="G5" s="33">
        <v>16</v>
      </c>
      <c r="H5" s="33"/>
      <c r="I5" s="39">
        <v>20000</v>
      </c>
      <c r="J5" s="39">
        <v>320000</v>
      </c>
      <c r="K5" s="33" t="s">
        <v>56</v>
      </c>
      <c r="L5" s="33" t="s">
        <v>64</v>
      </c>
      <c r="M5" s="33" t="s">
        <v>68</v>
      </c>
    </row>
    <row r="6" spans="1:13" x14ac:dyDescent="0.25">
      <c r="A6" s="33" t="s">
        <v>69</v>
      </c>
      <c r="B6" s="33"/>
      <c r="C6" s="33" t="s">
        <v>30</v>
      </c>
      <c r="D6" s="33"/>
      <c r="E6" s="33" t="s">
        <v>70</v>
      </c>
      <c r="F6" s="33" t="s">
        <v>55</v>
      </c>
      <c r="G6" s="33"/>
      <c r="H6" s="33"/>
      <c r="I6" s="39"/>
      <c r="J6" s="39">
        <v>300000</v>
      </c>
      <c r="K6" s="33" t="s">
        <v>56</v>
      </c>
      <c r="L6" s="33" t="s">
        <v>64</v>
      </c>
      <c r="M6" s="33" t="s">
        <v>71</v>
      </c>
    </row>
    <row r="7" spans="1:13" x14ac:dyDescent="0.25">
      <c r="A7" s="33" t="s">
        <v>72</v>
      </c>
      <c r="B7" s="33"/>
      <c r="C7" s="33" t="s">
        <v>30</v>
      </c>
      <c r="D7" s="33"/>
      <c r="E7" s="33" t="s">
        <v>73</v>
      </c>
      <c r="F7" s="33" t="s">
        <v>55</v>
      </c>
      <c r="G7" s="33">
        <v>2</v>
      </c>
      <c r="H7" s="33"/>
      <c r="I7" s="39">
        <v>80000</v>
      </c>
      <c r="J7" s="39">
        <v>160000</v>
      </c>
      <c r="K7" s="33" t="s">
        <v>56</v>
      </c>
      <c r="L7" s="33" t="s">
        <v>64</v>
      </c>
      <c r="M7" s="33" t="s">
        <v>74</v>
      </c>
    </row>
    <row r="8" spans="1:13" x14ac:dyDescent="0.25">
      <c r="A8" s="33" t="s">
        <v>75</v>
      </c>
      <c r="B8" s="33"/>
      <c r="C8" s="33" t="s">
        <v>30</v>
      </c>
      <c r="D8" s="33"/>
      <c r="E8" s="33" t="s">
        <v>76</v>
      </c>
      <c r="F8" s="33" t="s">
        <v>55</v>
      </c>
      <c r="G8" s="33">
        <v>2</v>
      </c>
      <c r="H8" s="33"/>
      <c r="I8" s="39">
        <v>235000</v>
      </c>
      <c r="J8" s="39">
        <v>470000</v>
      </c>
      <c r="K8" s="33" t="s">
        <v>56</v>
      </c>
      <c r="L8" s="33" t="s">
        <v>64</v>
      </c>
      <c r="M8" s="33" t="s">
        <v>77</v>
      </c>
    </row>
    <row r="9" spans="1:13" x14ac:dyDescent="0.25">
      <c r="A9" s="33" t="s">
        <v>78</v>
      </c>
      <c r="B9" s="33"/>
      <c r="C9" s="33" t="s">
        <v>30</v>
      </c>
      <c r="D9" s="33"/>
      <c r="E9" s="33" t="s">
        <v>79</v>
      </c>
      <c r="F9" s="33" t="s">
        <v>55</v>
      </c>
      <c r="G9" s="33"/>
      <c r="H9" s="33"/>
      <c r="I9" s="39"/>
      <c r="J9" s="39">
        <v>3352000</v>
      </c>
      <c r="K9" s="33" t="s">
        <v>56</v>
      </c>
      <c r="L9" s="33" t="s">
        <v>80</v>
      </c>
      <c r="M9" s="33" t="s">
        <v>81</v>
      </c>
    </row>
    <row r="10" spans="1:13" x14ac:dyDescent="0.25">
      <c r="A10" s="33" t="s">
        <v>82</v>
      </c>
      <c r="B10" s="33"/>
      <c r="C10" s="33" t="s">
        <v>30</v>
      </c>
      <c r="D10" s="33" t="s">
        <v>32</v>
      </c>
      <c r="E10" s="33" t="s">
        <v>83</v>
      </c>
      <c r="F10" s="33" t="s">
        <v>55</v>
      </c>
      <c r="G10" s="33"/>
      <c r="H10" s="33"/>
      <c r="I10" s="39"/>
      <c r="J10" s="39">
        <v>800000</v>
      </c>
      <c r="K10" s="33" t="s">
        <v>56</v>
      </c>
      <c r="L10" s="33" t="s">
        <v>64</v>
      </c>
      <c r="M10" s="33" t="s">
        <v>84</v>
      </c>
    </row>
    <row r="11" spans="1:13" x14ac:dyDescent="0.25">
      <c r="A11" s="33" t="s">
        <v>85</v>
      </c>
      <c r="B11" s="33"/>
      <c r="C11" s="33" t="s">
        <v>30</v>
      </c>
      <c r="D11" s="33" t="s">
        <v>33</v>
      </c>
      <c r="E11" s="33" t="s">
        <v>86</v>
      </c>
      <c r="F11" s="33" t="s">
        <v>55</v>
      </c>
      <c r="G11" s="33">
        <v>1</v>
      </c>
      <c r="H11" s="33"/>
      <c r="I11" s="39">
        <v>1</v>
      </c>
      <c r="J11" s="39">
        <v>8500000</v>
      </c>
      <c r="K11" s="33" t="s">
        <v>56</v>
      </c>
      <c r="L11" s="33" t="s">
        <v>87</v>
      </c>
      <c r="M11" s="33" t="s">
        <v>88</v>
      </c>
    </row>
    <row r="12" spans="1:13" x14ac:dyDescent="0.25">
      <c r="A12" s="33" t="s">
        <v>89</v>
      </c>
      <c r="B12" s="33"/>
      <c r="C12" s="33" t="s">
        <v>30</v>
      </c>
      <c r="D12" s="33" t="s">
        <v>33</v>
      </c>
      <c r="E12" s="33" t="s">
        <v>90</v>
      </c>
      <c r="F12" s="33" t="s">
        <v>55</v>
      </c>
      <c r="G12" s="33">
        <v>1</v>
      </c>
      <c r="H12" s="33"/>
      <c r="I12" s="39"/>
      <c r="J12" s="39">
        <v>2200000</v>
      </c>
      <c r="K12" s="33" t="s">
        <v>56</v>
      </c>
      <c r="L12" s="33"/>
      <c r="M12" s="33" t="s">
        <v>91</v>
      </c>
    </row>
    <row r="13" spans="1:13" x14ac:dyDescent="0.25">
      <c r="A13" s="33" t="s">
        <v>92</v>
      </c>
      <c r="B13" s="33"/>
      <c r="C13" s="33" t="s">
        <v>30</v>
      </c>
      <c r="D13" s="33" t="s">
        <v>34</v>
      </c>
      <c r="E13" s="33" t="s">
        <v>93</v>
      </c>
      <c r="F13" s="33" t="s">
        <v>55</v>
      </c>
      <c r="G13" s="33">
        <v>1</v>
      </c>
      <c r="H13" s="33"/>
      <c r="I13" s="39"/>
      <c r="J13" s="39">
        <v>500000</v>
      </c>
      <c r="K13" s="33" t="s">
        <v>56</v>
      </c>
      <c r="L13" s="33"/>
      <c r="M13" s="33" t="s">
        <v>94</v>
      </c>
    </row>
    <row r="14" spans="1:13" x14ac:dyDescent="0.25">
      <c r="A14" s="33" t="s">
        <v>95</v>
      </c>
      <c r="B14" s="33"/>
      <c r="C14" s="33" t="s">
        <v>30</v>
      </c>
      <c r="D14" s="33" t="s">
        <v>35</v>
      </c>
      <c r="E14" s="33" t="s">
        <v>96</v>
      </c>
      <c r="F14" s="33" t="s">
        <v>55</v>
      </c>
      <c r="G14" s="33">
        <v>1</v>
      </c>
      <c r="H14" s="33"/>
      <c r="I14" s="39"/>
      <c r="J14" s="39">
        <v>2800000</v>
      </c>
      <c r="K14" s="33" t="s">
        <v>56</v>
      </c>
      <c r="L14" s="33"/>
      <c r="M14" s="33" t="s">
        <v>97</v>
      </c>
    </row>
    <row r="15" spans="1:13" x14ac:dyDescent="0.25">
      <c r="A15" s="33" t="s">
        <v>98</v>
      </c>
      <c r="B15" s="33"/>
      <c r="C15" s="33" t="s">
        <v>30</v>
      </c>
      <c r="D15" s="33" t="s">
        <v>36</v>
      </c>
      <c r="E15" s="33" t="s">
        <v>99</v>
      </c>
      <c r="F15" s="33" t="s">
        <v>55</v>
      </c>
      <c r="G15" s="33">
        <v>1</v>
      </c>
      <c r="H15" s="33"/>
      <c r="I15" s="39"/>
      <c r="J15" s="39">
        <v>3200000</v>
      </c>
      <c r="K15" s="33" t="s">
        <v>56</v>
      </c>
      <c r="L15" s="33" t="s">
        <v>100</v>
      </c>
      <c r="M15" s="33" t="s">
        <v>101</v>
      </c>
    </row>
    <row r="16" spans="1:13" x14ac:dyDescent="0.25">
      <c r="A16" s="33" t="s">
        <v>102</v>
      </c>
      <c r="B16" s="33"/>
      <c r="C16" s="33" t="s">
        <v>30</v>
      </c>
      <c r="D16" s="33" t="s">
        <v>31</v>
      </c>
      <c r="E16" s="33" t="s">
        <v>103</v>
      </c>
      <c r="F16" s="33" t="s">
        <v>55</v>
      </c>
      <c r="G16" s="33">
        <v>25</v>
      </c>
      <c r="H16" s="33"/>
      <c r="I16" s="39"/>
      <c r="J16" s="39">
        <v>812500</v>
      </c>
      <c r="K16" s="33" t="s">
        <v>56</v>
      </c>
      <c r="L16" s="33" t="s">
        <v>57</v>
      </c>
      <c r="M16" s="33" t="s">
        <v>104</v>
      </c>
    </row>
    <row r="17" spans="1:13" x14ac:dyDescent="0.25">
      <c r="A17" s="33" t="s">
        <v>105</v>
      </c>
      <c r="B17" s="33"/>
      <c r="C17" s="33" t="s">
        <v>30</v>
      </c>
      <c r="D17" s="33" t="s">
        <v>31</v>
      </c>
      <c r="E17" s="33" t="s">
        <v>103</v>
      </c>
      <c r="F17" s="33" t="s">
        <v>55</v>
      </c>
      <c r="G17" s="33">
        <v>20</v>
      </c>
      <c r="H17" s="33"/>
      <c r="I17" s="39"/>
      <c r="J17" s="39">
        <v>653000</v>
      </c>
      <c r="K17" s="33" t="s">
        <v>56</v>
      </c>
      <c r="L17" s="33" t="s">
        <v>57</v>
      </c>
      <c r="M17" s="33" t="s">
        <v>106</v>
      </c>
    </row>
    <row r="18" spans="1:13" x14ac:dyDescent="0.25">
      <c r="A18" s="33" t="s">
        <v>107</v>
      </c>
      <c r="B18" s="33"/>
      <c r="C18" s="33" t="s">
        <v>30</v>
      </c>
      <c r="D18" s="33"/>
      <c r="E18" s="33" t="s">
        <v>108</v>
      </c>
      <c r="F18" s="33" t="s">
        <v>55</v>
      </c>
      <c r="G18" s="33">
        <v>1</v>
      </c>
      <c r="H18" s="33"/>
      <c r="I18" s="39"/>
      <c r="J18" s="39">
        <v>350000</v>
      </c>
      <c r="K18" s="33" t="s">
        <v>56</v>
      </c>
      <c r="L18" s="33" t="s">
        <v>109</v>
      </c>
      <c r="M18" s="33" t="s">
        <v>110</v>
      </c>
    </row>
    <row r="19" spans="1:13" x14ac:dyDescent="0.25">
      <c r="A19" s="33" t="s">
        <v>111</v>
      </c>
      <c r="B19" s="33"/>
      <c r="C19" s="33" t="s">
        <v>30</v>
      </c>
      <c r="D19" s="33"/>
      <c r="E19" s="33" t="s">
        <v>112</v>
      </c>
      <c r="F19" s="33" t="s">
        <v>55</v>
      </c>
      <c r="G19" s="33">
        <v>1</v>
      </c>
      <c r="H19" s="33"/>
      <c r="I19" s="39"/>
      <c r="J19" s="39">
        <v>260000</v>
      </c>
      <c r="K19" s="33" t="s">
        <v>56</v>
      </c>
      <c r="L19" s="33" t="s">
        <v>109</v>
      </c>
      <c r="M19" s="33" t="s">
        <v>113</v>
      </c>
    </row>
    <row r="20" spans="1:13" x14ac:dyDescent="0.25">
      <c r="A20" s="33" t="s">
        <v>114</v>
      </c>
      <c r="B20" s="33"/>
      <c r="C20" s="33" t="s">
        <v>30</v>
      </c>
      <c r="D20" s="33"/>
      <c r="E20" s="33" t="s">
        <v>115</v>
      </c>
      <c r="F20" s="33" t="s">
        <v>55</v>
      </c>
      <c r="G20" s="33">
        <v>1</v>
      </c>
      <c r="H20" s="33"/>
      <c r="I20" s="39"/>
      <c r="J20" s="39">
        <v>240000</v>
      </c>
      <c r="K20" s="33" t="s">
        <v>56</v>
      </c>
      <c r="L20" s="33" t="s">
        <v>109</v>
      </c>
      <c r="M20" s="33" t="s">
        <v>116</v>
      </c>
    </row>
    <row r="21" spans="1:13" x14ac:dyDescent="0.25">
      <c r="A21" s="33" t="s">
        <v>117</v>
      </c>
      <c r="B21" s="33"/>
      <c r="C21" s="33" t="s">
        <v>30</v>
      </c>
      <c r="D21" s="33"/>
      <c r="E21" s="33" t="s">
        <v>118</v>
      </c>
      <c r="F21" s="33" t="s">
        <v>55</v>
      </c>
      <c r="G21" s="33">
        <v>1</v>
      </c>
      <c r="H21" s="33"/>
      <c r="I21" s="39"/>
      <c r="J21" s="39">
        <v>420000</v>
      </c>
      <c r="K21" s="33" t="s">
        <v>56</v>
      </c>
      <c r="L21" s="33" t="s">
        <v>109</v>
      </c>
      <c r="M21" s="33" t="s">
        <v>119</v>
      </c>
    </row>
    <row r="22" spans="1:13" x14ac:dyDescent="0.25">
      <c r="A22" s="33" t="s">
        <v>120</v>
      </c>
      <c r="B22" s="33"/>
      <c r="C22" s="33" t="s">
        <v>30</v>
      </c>
      <c r="D22" s="33"/>
      <c r="E22" s="33" t="s">
        <v>121</v>
      </c>
      <c r="F22" s="33" t="s">
        <v>55</v>
      </c>
      <c r="G22" s="33">
        <v>1</v>
      </c>
      <c r="H22" s="33"/>
      <c r="I22" s="39"/>
      <c r="J22" s="39">
        <v>800000</v>
      </c>
      <c r="K22" s="33" t="s">
        <v>56</v>
      </c>
      <c r="L22" s="33" t="s">
        <v>109</v>
      </c>
      <c r="M22" s="33" t="s">
        <v>122</v>
      </c>
    </row>
    <row r="23" spans="1:13" x14ac:dyDescent="0.25">
      <c r="A23" s="33" t="s">
        <v>123</v>
      </c>
      <c r="B23" s="33"/>
      <c r="C23" s="33" t="s">
        <v>30</v>
      </c>
      <c r="D23" s="33"/>
      <c r="E23" s="33" t="s">
        <v>124</v>
      </c>
      <c r="F23" s="33" t="s">
        <v>55</v>
      </c>
      <c r="G23" s="33">
        <v>1</v>
      </c>
      <c r="H23" s="33"/>
      <c r="I23" s="39"/>
      <c r="J23" s="39">
        <v>100000</v>
      </c>
      <c r="K23" s="33" t="s">
        <v>56</v>
      </c>
      <c r="L23" s="33" t="s">
        <v>109</v>
      </c>
      <c r="M23" s="33" t="s">
        <v>125</v>
      </c>
    </row>
    <row r="24" spans="1:13" x14ac:dyDescent="0.25">
      <c r="A24" s="33" t="s">
        <v>126</v>
      </c>
      <c r="B24" s="33"/>
      <c r="C24" s="33" t="s">
        <v>30</v>
      </c>
      <c r="D24" s="33"/>
      <c r="E24" s="33" t="s">
        <v>127</v>
      </c>
      <c r="F24" s="33" t="s">
        <v>55</v>
      </c>
      <c r="G24" s="33">
        <v>1</v>
      </c>
      <c r="H24" s="33"/>
      <c r="I24" s="39"/>
      <c r="J24" s="39">
        <v>115000</v>
      </c>
      <c r="K24" s="33" t="s">
        <v>56</v>
      </c>
      <c r="L24" s="33" t="s">
        <v>109</v>
      </c>
      <c r="M24" s="33" t="s">
        <v>128</v>
      </c>
    </row>
    <row r="25" spans="1:13" x14ac:dyDescent="0.25">
      <c r="A25" s="33" t="s">
        <v>129</v>
      </c>
      <c r="B25" s="33"/>
      <c r="C25" s="33" t="s">
        <v>30</v>
      </c>
      <c r="D25" s="33"/>
      <c r="E25" s="33" t="s">
        <v>130</v>
      </c>
      <c r="F25" s="33" t="s">
        <v>55</v>
      </c>
      <c r="G25" s="33">
        <v>1</v>
      </c>
      <c r="H25" s="33"/>
      <c r="I25" s="39"/>
      <c r="J25" s="39">
        <v>250000</v>
      </c>
      <c r="K25" s="33" t="s">
        <v>56</v>
      </c>
      <c r="L25" s="33" t="s">
        <v>109</v>
      </c>
      <c r="M25" s="33" t="s">
        <v>131</v>
      </c>
    </row>
    <row r="26" spans="1:13" x14ac:dyDescent="0.25">
      <c r="A26" s="33" t="s">
        <v>132</v>
      </c>
      <c r="B26" s="33"/>
      <c r="C26" s="33" t="s">
        <v>30</v>
      </c>
      <c r="D26" s="33" t="s">
        <v>37</v>
      </c>
      <c r="E26" s="33" t="s">
        <v>133</v>
      </c>
      <c r="F26" s="33" t="s">
        <v>55</v>
      </c>
      <c r="G26" s="33">
        <v>1</v>
      </c>
      <c r="H26" s="33"/>
      <c r="I26" s="39">
        <v>580000</v>
      </c>
      <c r="J26" s="39">
        <v>580000</v>
      </c>
      <c r="K26" s="33" t="s">
        <v>56</v>
      </c>
      <c r="L26" s="33" t="s">
        <v>109</v>
      </c>
      <c r="M26" s="33" t="s">
        <v>134</v>
      </c>
    </row>
    <row r="27" spans="1:13" x14ac:dyDescent="0.25">
      <c r="A27" s="33" t="s">
        <v>135</v>
      </c>
      <c r="B27" s="33"/>
      <c r="C27" s="33" t="s">
        <v>30</v>
      </c>
      <c r="D27" s="33" t="s">
        <v>38</v>
      </c>
      <c r="E27" s="33" t="s">
        <v>136</v>
      </c>
      <c r="F27" s="33" t="s">
        <v>55</v>
      </c>
      <c r="G27" s="33">
        <v>1</v>
      </c>
      <c r="H27" s="33"/>
      <c r="I27" s="39"/>
      <c r="J27" s="39">
        <v>160000</v>
      </c>
      <c r="K27" s="33" t="s">
        <v>56</v>
      </c>
      <c r="L27" s="33" t="s">
        <v>137</v>
      </c>
      <c r="M27" s="33" t="s">
        <v>138</v>
      </c>
    </row>
    <row r="28" spans="1:13" x14ac:dyDescent="0.25">
      <c r="A28" s="33" t="s">
        <v>139</v>
      </c>
      <c r="B28" s="33"/>
      <c r="C28" s="33" t="s">
        <v>30</v>
      </c>
      <c r="D28" s="33"/>
      <c r="E28" s="33" t="s">
        <v>140</v>
      </c>
      <c r="F28" s="33" t="s">
        <v>55</v>
      </c>
      <c r="G28" s="33">
        <v>1</v>
      </c>
      <c r="H28" s="33"/>
      <c r="I28" s="39"/>
      <c r="J28" s="39">
        <v>160000</v>
      </c>
      <c r="K28" s="33" t="s">
        <v>56</v>
      </c>
      <c r="L28" s="33" t="s">
        <v>137</v>
      </c>
      <c r="M28" s="33" t="s">
        <v>141</v>
      </c>
    </row>
    <row r="29" spans="1:13" x14ac:dyDescent="0.25">
      <c r="A29" s="33" t="s">
        <v>142</v>
      </c>
      <c r="B29" s="33"/>
      <c r="C29" s="33" t="s">
        <v>30</v>
      </c>
      <c r="D29" s="33"/>
      <c r="E29" s="33" t="s">
        <v>143</v>
      </c>
      <c r="F29" s="33" t="s">
        <v>55</v>
      </c>
      <c r="G29" s="33">
        <v>2</v>
      </c>
      <c r="H29" s="33"/>
      <c r="I29" s="39">
        <v>30000</v>
      </c>
      <c r="J29" s="39">
        <v>60000</v>
      </c>
      <c r="K29" s="33" t="s">
        <v>56</v>
      </c>
      <c r="L29" s="33" t="s">
        <v>137</v>
      </c>
      <c r="M29" s="33" t="s">
        <v>144</v>
      </c>
    </row>
    <row r="30" spans="1:13" x14ac:dyDescent="0.25">
      <c r="A30" s="33" t="s">
        <v>145</v>
      </c>
      <c r="B30" s="33"/>
      <c r="C30" s="33" t="s">
        <v>30</v>
      </c>
      <c r="D30" s="33"/>
      <c r="E30" s="33" t="s">
        <v>146</v>
      </c>
      <c r="F30" s="33" t="s">
        <v>55</v>
      </c>
      <c r="G30" s="33">
        <v>2</v>
      </c>
      <c r="H30" s="33"/>
      <c r="I30" s="39">
        <v>30000</v>
      </c>
      <c r="J30" s="39">
        <v>60000</v>
      </c>
      <c r="K30" s="33" t="s">
        <v>56</v>
      </c>
      <c r="L30" s="33" t="s">
        <v>137</v>
      </c>
      <c r="M30" s="33" t="s">
        <v>147</v>
      </c>
    </row>
    <row r="31" spans="1:13" x14ac:dyDescent="0.25">
      <c r="A31" s="33" t="s">
        <v>148</v>
      </c>
      <c r="B31" s="33"/>
      <c r="C31" s="33" t="s">
        <v>30</v>
      </c>
      <c r="D31" s="33"/>
      <c r="E31" s="33" t="s">
        <v>149</v>
      </c>
      <c r="F31" s="33" t="s">
        <v>55</v>
      </c>
      <c r="G31" s="33">
        <v>2</v>
      </c>
      <c r="H31" s="33"/>
      <c r="I31" s="39">
        <v>55000</v>
      </c>
      <c r="J31" s="39">
        <v>110000</v>
      </c>
      <c r="K31" s="33" t="s">
        <v>56</v>
      </c>
      <c r="L31" s="33" t="s">
        <v>137</v>
      </c>
      <c r="M31" s="33" t="s">
        <v>150</v>
      </c>
    </row>
    <row r="32" spans="1:13" x14ac:dyDescent="0.25">
      <c r="A32" s="33" t="s">
        <v>151</v>
      </c>
      <c r="B32" s="33"/>
      <c r="C32" s="33" t="s">
        <v>30</v>
      </c>
      <c r="D32" s="33"/>
      <c r="E32" s="33" t="s">
        <v>152</v>
      </c>
      <c r="F32" s="33" t="s">
        <v>55</v>
      </c>
      <c r="G32" s="33">
        <v>2</v>
      </c>
      <c r="H32" s="33"/>
      <c r="I32" s="39">
        <v>55000</v>
      </c>
      <c r="J32" s="39">
        <v>110000</v>
      </c>
      <c r="K32" s="33" t="s">
        <v>56</v>
      </c>
      <c r="L32" s="33" t="s">
        <v>137</v>
      </c>
      <c r="M32" s="33" t="s">
        <v>153</v>
      </c>
    </row>
    <row r="33" spans="1:13" x14ac:dyDescent="0.25">
      <c r="A33" s="33" t="s">
        <v>154</v>
      </c>
      <c r="B33" s="33"/>
      <c r="C33" s="33" t="s">
        <v>30</v>
      </c>
      <c r="D33" s="33"/>
      <c r="E33" s="33" t="s">
        <v>155</v>
      </c>
      <c r="F33" s="33" t="s">
        <v>55</v>
      </c>
      <c r="G33" s="33">
        <v>2</v>
      </c>
      <c r="H33" s="33"/>
      <c r="I33" s="39">
        <v>30000</v>
      </c>
      <c r="J33" s="39">
        <v>60000</v>
      </c>
      <c r="K33" s="33" t="s">
        <v>56</v>
      </c>
      <c r="L33" s="33" t="s">
        <v>137</v>
      </c>
      <c r="M33" s="33" t="s">
        <v>156</v>
      </c>
    </row>
    <row r="34" spans="1:13" x14ac:dyDescent="0.25">
      <c r="A34" s="33" t="s">
        <v>157</v>
      </c>
      <c r="B34" s="33"/>
      <c r="C34" s="33" t="s">
        <v>30</v>
      </c>
      <c r="D34" s="33"/>
      <c r="E34" s="33" t="s">
        <v>158</v>
      </c>
      <c r="F34" s="33" t="s">
        <v>55</v>
      </c>
      <c r="G34" s="33">
        <v>2</v>
      </c>
      <c r="H34" s="33"/>
      <c r="I34" s="39">
        <v>55000</v>
      </c>
      <c r="J34" s="39">
        <v>110000</v>
      </c>
      <c r="K34" s="33" t="s">
        <v>56</v>
      </c>
      <c r="L34" s="33" t="s">
        <v>137</v>
      </c>
      <c r="M34" s="33" t="s">
        <v>159</v>
      </c>
    </row>
    <row r="35" spans="1:13" x14ac:dyDescent="0.25">
      <c r="A35" s="33" t="s">
        <v>160</v>
      </c>
      <c r="B35" s="33"/>
      <c r="C35" s="33" t="s">
        <v>30</v>
      </c>
      <c r="D35" s="33"/>
      <c r="E35" s="33" t="s">
        <v>161</v>
      </c>
      <c r="F35" s="33" t="s">
        <v>55</v>
      </c>
      <c r="G35" s="33">
        <v>2</v>
      </c>
      <c r="H35" s="33"/>
      <c r="I35" s="39">
        <v>110000</v>
      </c>
      <c r="J35" s="39">
        <v>220000</v>
      </c>
      <c r="K35" s="33" t="s">
        <v>56</v>
      </c>
      <c r="L35" s="33" t="s">
        <v>137</v>
      </c>
      <c r="M35" s="33" t="s">
        <v>162</v>
      </c>
    </row>
    <row r="36" spans="1:13" x14ac:dyDescent="0.25">
      <c r="A36" s="33" t="s">
        <v>163</v>
      </c>
      <c r="B36" s="33"/>
      <c r="C36" s="33" t="s">
        <v>30</v>
      </c>
      <c r="D36" s="33"/>
      <c r="E36" s="33" t="s">
        <v>164</v>
      </c>
      <c r="F36" s="33" t="s">
        <v>55</v>
      </c>
      <c r="G36" s="33">
        <v>4</v>
      </c>
      <c r="H36" s="33"/>
      <c r="I36" s="39">
        <v>3500</v>
      </c>
      <c r="J36" s="39">
        <v>14000</v>
      </c>
      <c r="K36" s="33" t="s">
        <v>56</v>
      </c>
      <c r="L36" s="33" t="s">
        <v>137</v>
      </c>
      <c r="M36" s="33" t="s">
        <v>165</v>
      </c>
    </row>
    <row r="37" spans="1:13" x14ac:dyDescent="0.25">
      <c r="A37" s="33" t="s">
        <v>166</v>
      </c>
      <c r="B37" s="33"/>
      <c r="C37" s="33" t="s">
        <v>30</v>
      </c>
      <c r="D37" s="33"/>
      <c r="E37" s="33" t="s">
        <v>167</v>
      </c>
      <c r="F37" s="33" t="s">
        <v>55</v>
      </c>
      <c r="G37" s="33">
        <v>1</v>
      </c>
      <c r="H37" s="33"/>
      <c r="I37" s="39"/>
      <c r="J37" s="39">
        <v>700000</v>
      </c>
      <c r="K37" s="33" t="s">
        <v>56</v>
      </c>
      <c r="L37" s="33" t="s">
        <v>137</v>
      </c>
      <c r="M37" s="33" t="s">
        <v>168</v>
      </c>
    </row>
    <row r="38" spans="1:13" x14ac:dyDescent="0.25">
      <c r="A38" s="33" t="s">
        <v>169</v>
      </c>
      <c r="B38" s="33"/>
      <c r="C38" s="33" t="s">
        <v>30</v>
      </c>
      <c r="D38" s="33"/>
      <c r="E38" s="33" t="s">
        <v>170</v>
      </c>
      <c r="F38" s="33" t="s">
        <v>55</v>
      </c>
      <c r="G38" s="33">
        <v>1</v>
      </c>
      <c r="H38" s="33"/>
      <c r="I38" s="39"/>
      <c r="J38" s="39">
        <v>950000</v>
      </c>
      <c r="K38" s="33" t="s">
        <v>56</v>
      </c>
      <c r="L38" s="33" t="s">
        <v>137</v>
      </c>
      <c r="M38" s="33" t="s">
        <v>171</v>
      </c>
    </row>
    <row r="39" spans="1:13" x14ac:dyDescent="0.25">
      <c r="A39" s="33" t="s">
        <v>172</v>
      </c>
      <c r="B39" s="33"/>
      <c r="C39" s="33" t="s">
        <v>30</v>
      </c>
      <c r="D39" s="33"/>
      <c r="E39" s="33" t="s">
        <v>173</v>
      </c>
      <c r="F39" s="33" t="s">
        <v>55</v>
      </c>
      <c r="G39" s="33">
        <v>1</v>
      </c>
      <c r="H39" s="33"/>
      <c r="I39" s="39"/>
      <c r="J39" s="39">
        <v>950000</v>
      </c>
      <c r="K39" s="33" t="s">
        <v>56</v>
      </c>
      <c r="L39" s="33" t="s">
        <v>137</v>
      </c>
      <c r="M39" s="33" t="s">
        <v>174</v>
      </c>
    </row>
    <row r="40" spans="1:13" x14ac:dyDescent="0.25">
      <c r="A40" s="33" t="s">
        <v>175</v>
      </c>
      <c r="B40" s="33"/>
      <c r="C40" s="33" t="s">
        <v>30</v>
      </c>
      <c r="D40" s="33"/>
      <c r="E40" s="33" t="s">
        <v>176</v>
      </c>
      <c r="F40" s="33" t="s">
        <v>55</v>
      </c>
      <c r="G40" s="33">
        <v>4</v>
      </c>
      <c r="H40" s="33"/>
      <c r="I40" s="39"/>
      <c r="J40" s="39"/>
      <c r="K40" s="33" t="s">
        <v>56</v>
      </c>
      <c r="L40" s="33" t="s">
        <v>137</v>
      </c>
      <c r="M40" s="33" t="s">
        <v>177</v>
      </c>
    </row>
    <row r="41" spans="1:13" x14ac:dyDescent="0.25">
      <c r="A41" s="33" t="s">
        <v>178</v>
      </c>
      <c r="B41" s="33"/>
      <c r="C41" s="33" t="s">
        <v>30</v>
      </c>
      <c r="D41" s="33"/>
      <c r="E41" s="33" t="s">
        <v>179</v>
      </c>
      <c r="F41" s="33" t="s">
        <v>55</v>
      </c>
      <c r="G41" s="33">
        <v>10</v>
      </c>
      <c r="H41" s="33"/>
      <c r="I41" s="39">
        <v>36000</v>
      </c>
      <c r="J41" s="39">
        <v>360000</v>
      </c>
      <c r="K41" s="33" t="s">
        <v>56</v>
      </c>
      <c r="L41" s="33"/>
      <c r="M41" s="33" t="s">
        <v>180</v>
      </c>
    </row>
    <row r="42" spans="1:13" x14ac:dyDescent="0.25">
      <c r="A42" s="33" t="s">
        <v>181</v>
      </c>
      <c r="B42" s="33"/>
      <c r="C42" s="33" t="s">
        <v>30</v>
      </c>
      <c r="D42" s="33"/>
      <c r="E42" s="33" t="s">
        <v>182</v>
      </c>
      <c r="F42" s="33" t="s">
        <v>55</v>
      </c>
      <c r="G42" s="33"/>
      <c r="H42" s="33"/>
      <c r="I42" s="39"/>
      <c r="J42" s="39">
        <v>110000</v>
      </c>
      <c r="K42" s="33" t="s">
        <v>56</v>
      </c>
      <c r="L42" s="33"/>
      <c r="M42" s="33" t="s">
        <v>183</v>
      </c>
    </row>
    <row r="43" spans="1:13" x14ac:dyDescent="0.25">
      <c r="A43" s="33" t="s">
        <v>184</v>
      </c>
      <c r="B43" s="33"/>
      <c r="C43" s="33" t="s">
        <v>30</v>
      </c>
      <c r="D43" s="33"/>
      <c r="E43" s="33" t="s">
        <v>185</v>
      </c>
      <c r="F43" s="33" t="s">
        <v>55</v>
      </c>
      <c r="G43" s="33">
        <v>50</v>
      </c>
      <c r="H43" s="33"/>
      <c r="I43" s="39">
        <v>23000</v>
      </c>
      <c r="J43" s="39">
        <v>1150000</v>
      </c>
      <c r="K43" s="33" t="s">
        <v>56</v>
      </c>
      <c r="L43" s="33"/>
      <c r="M43" s="33" t="s">
        <v>186</v>
      </c>
    </row>
    <row r="44" spans="1:13" x14ac:dyDescent="0.25">
      <c r="A44" s="33" t="s">
        <v>187</v>
      </c>
      <c r="B44" s="33"/>
      <c r="C44" s="33" t="s">
        <v>30</v>
      </c>
      <c r="D44" s="33"/>
      <c r="E44" s="33" t="s">
        <v>188</v>
      </c>
      <c r="F44" s="33" t="s">
        <v>55</v>
      </c>
      <c r="G44" s="33">
        <v>3</v>
      </c>
      <c r="H44" s="33"/>
      <c r="I44" s="39">
        <v>110000</v>
      </c>
      <c r="J44" s="39">
        <v>330000</v>
      </c>
      <c r="K44" s="33" t="s">
        <v>56</v>
      </c>
      <c r="L44" s="33"/>
      <c r="M44" s="33" t="s">
        <v>189</v>
      </c>
    </row>
    <row r="45" spans="1:13" x14ac:dyDescent="0.25">
      <c r="A45" s="33" t="s">
        <v>190</v>
      </c>
      <c r="B45" s="33"/>
      <c r="C45" s="33" t="s">
        <v>30</v>
      </c>
      <c r="D45" s="33"/>
      <c r="E45" s="33" t="s">
        <v>191</v>
      </c>
      <c r="F45" s="33" t="s">
        <v>55</v>
      </c>
      <c r="G45" s="33">
        <v>4</v>
      </c>
      <c r="H45" s="33"/>
      <c r="I45" s="39">
        <v>120000</v>
      </c>
      <c r="J45" s="39">
        <v>480000</v>
      </c>
      <c r="K45" s="33" t="s">
        <v>56</v>
      </c>
      <c r="L45" s="33"/>
      <c r="M45" s="33" t="s">
        <v>192</v>
      </c>
    </row>
    <row r="46" spans="1:13" x14ac:dyDescent="0.25">
      <c r="A46" s="33" t="s">
        <v>193</v>
      </c>
      <c r="B46" s="33"/>
      <c r="C46" s="33" t="s">
        <v>30</v>
      </c>
      <c r="D46" s="33"/>
      <c r="E46" s="33" t="s">
        <v>194</v>
      </c>
      <c r="F46" s="33" t="s">
        <v>55</v>
      </c>
      <c r="G46" s="33">
        <v>2</v>
      </c>
      <c r="H46" s="33"/>
      <c r="I46" s="39">
        <v>205000</v>
      </c>
      <c r="J46" s="39">
        <v>410000</v>
      </c>
      <c r="K46" s="33" t="s">
        <v>56</v>
      </c>
      <c r="L46" s="33"/>
      <c r="M46" s="33" t="s">
        <v>195</v>
      </c>
    </row>
    <row r="47" spans="1:13" x14ac:dyDescent="0.25">
      <c r="A47" s="33" t="s">
        <v>196</v>
      </c>
      <c r="B47" s="33"/>
      <c r="C47" s="33" t="s">
        <v>30</v>
      </c>
      <c r="D47" s="33"/>
      <c r="E47" s="33" t="s">
        <v>197</v>
      </c>
      <c r="F47" s="33" t="s">
        <v>55</v>
      </c>
      <c r="G47" s="33">
        <v>1</v>
      </c>
      <c r="H47" s="33"/>
      <c r="I47" s="39">
        <v>350000</v>
      </c>
      <c r="J47" s="39">
        <v>350000</v>
      </c>
      <c r="K47" s="33" t="s">
        <v>56</v>
      </c>
      <c r="L47" s="33"/>
      <c r="M47" s="33" t="s">
        <v>198</v>
      </c>
    </row>
    <row r="48" spans="1:13" x14ac:dyDescent="0.25">
      <c r="A48" s="33" t="s">
        <v>199</v>
      </c>
      <c r="B48" s="33"/>
      <c r="C48" s="33" t="s">
        <v>30</v>
      </c>
      <c r="D48" s="33"/>
      <c r="E48" s="33" t="s">
        <v>200</v>
      </c>
      <c r="F48" s="33" t="s">
        <v>55</v>
      </c>
      <c r="G48" s="33">
        <v>1</v>
      </c>
      <c r="H48" s="33"/>
      <c r="I48" s="39">
        <v>350000</v>
      </c>
      <c r="J48" s="39">
        <v>350000</v>
      </c>
      <c r="K48" s="33" t="s">
        <v>56</v>
      </c>
      <c r="L48" s="33"/>
      <c r="M48" s="33" t="s">
        <v>201</v>
      </c>
    </row>
    <row r="49" spans="1:13" x14ac:dyDescent="0.25">
      <c r="A49" s="33" t="s">
        <v>202</v>
      </c>
      <c r="B49" s="33"/>
      <c r="C49" s="33" t="s">
        <v>30</v>
      </c>
      <c r="D49" s="33"/>
      <c r="E49" s="33" t="s">
        <v>203</v>
      </c>
      <c r="F49" s="33" t="s">
        <v>55</v>
      </c>
      <c r="G49" s="33"/>
      <c r="H49" s="33"/>
      <c r="I49" s="39"/>
      <c r="J49" s="39">
        <v>890000</v>
      </c>
      <c r="K49" s="33" t="s">
        <v>56</v>
      </c>
      <c r="L49" s="33" t="s">
        <v>204</v>
      </c>
      <c r="M49" s="33" t="s">
        <v>205</v>
      </c>
    </row>
    <row r="50" spans="1:13" x14ac:dyDescent="0.25">
      <c r="A50" s="33" t="s">
        <v>206</v>
      </c>
      <c r="B50" s="33"/>
      <c r="C50" s="33" t="s">
        <v>30</v>
      </c>
      <c r="D50" s="33"/>
      <c r="E50" s="33" t="s">
        <v>207</v>
      </c>
      <c r="F50" s="33" t="s">
        <v>55</v>
      </c>
      <c r="G50" s="33"/>
      <c r="H50" s="33"/>
      <c r="I50" s="39">
        <v>77000</v>
      </c>
      <c r="J50" s="39">
        <v>1848000</v>
      </c>
      <c r="K50" s="33" t="s">
        <v>56</v>
      </c>
      <c r="L50" s="33" t="s">
        <v>204</v>
      </c>
      <c r="M50" s="33" t="s">
        <v>208</v>
      </c>
    </row>
    <row r="51" spans="1:13" x14ac:dyDescent="0.25">
      <c r="A51" s="33" t="s">
        <v>209</v>
      </c>
      <c r="B51" s="33"/>
      <c r="C51" s="33" t="s">
        <v>30</v>
      </c>
      <c r="D51" s="33"/>
      <c r="E51" s="33" t="s">
        <v>210</v>
      </c>
      <c r="F51" s="33" t="s">
        <v>55</v>
      </c>
      <c r="G51" s="33">
        <v>3</v>
      </c>
      <c r="H51" s="33"/>
      <c r="I51" s="39"/>
      <c r="J51" s="39">
        <v>240000</v>
      </c>
      <c r="K51" s="33" t="s">
        <v>56</v>
      </c>
      <c r="L51" s="33" t="s">
        <v>211</v>
      </c>
      <c r="M51" s="33" t="s">
        <v>212</v>
      </c>
    </row>
    <row r="52" spans="1:13" x14ac:dyDescent="0.25">
      <c r="A52" s="33" t="s">
        <v>213</v>
      </c>
      <c r="B52" s="33"/>
      <c r="C52" s="33" t="s">
        <v>30</v>
      </c>
      <c r="D52" s="33"/>
      <c r="E52" s="33" t="s">
        <v>214</v>
      </c>
      <c r="F52" s="33" t="s">
        <v>55</v>
      </c>
      <c r="G52" s="33">
        <v>3</v>
      </c>
      <c r="H52" s="33"/>
      <c r="I52" s="39"/>
      <c r="J52" s="39">
        <v>255000</v>
      </c>
      <c r="K52" s="33" t="s">
        <v>56</v>
      </c>
      <c r="L52" s="33"/>
      <c r="M52" s="33" t="s">
        <v>215</v>
      </c>
    </row>
    <row r="53" spans="1:13" x14ac:dyDescent="0.25">
      <c r="A53" s="33" t="s">
        <v>216</v>
      </c>
      <c r="B53" s="33"/>
      <c r="C53" s="33" t="s">
        <v>30</v>
      </c>
      <c r="D53" s="33"/>
      <c r="E53" s="33" t="s">
        <v>217</v>
      </c>
      <c r="F53" s="33" t="s">
        <v>55</v>
      </c>
      <c r="G53" s="33">
        <v>2</v>
      </c>
      <c r="H53" s="33"/>
      <c r="I53" s="39">
        <v>220</v>
      </c>
      <c r="J53" s="39">
        <v>440000</v>
      </c>
      <c r="K53" s="33" t="s">
        <v>56</v>
      </c>
      <c r="L53" s="33" t="s">
        <v>218</v>
      </c>
      <c r="M53" s="33" t="s">
        <v>219</v>
      </c>
    </row>
    <row r="54" spans="1:13" x14ac:dyDescent="0.25">
      <c r="A54" s="33" t="s">
        <v>220</v>
      </c>
      <c r="B54" s="33"/>
      <c r="C54" s="33" t="s">
        <v>30</v>
      </c>
      <c r="D54" s="33"/>
      <c r="E54" s="33" t="s">
        <v>221</v>
      </c>
      <c r="F54" s="33" t="s">
        <v>55</v>
      </c>
      <c r="G54" s="33">
        <v>16</v>
      </c>
      <c r="H54" s="33"/>
      <c r="I54" s="39">
        <v>81000</v>
      </c>
      <c r="J54" s="39">
        <v>1296000</v>
      </c>
      <c r="K54" s="33" t="s">
        <v>56</v>
      </c>
      <c r="L54" s="33" t="s">
        <v>218</v>
      </c>
      <c r="M54" s="33" t="s">
        <v>222</v>
      </c>
    </row>
    <row r="55" spans="1:13" x14ac:dyDescent="0.25">
      <c r="A55" s="33" t="s">
        <v>223</v>
      </c>
      <c r="B55" s="33"/>
      <c r="C55" s="33" t="s">
        <v>30</v>
      </c>
      <c r="D55" s="33"/>
      <c r="E55" s="33" t="s">
        <v>224</v>
      </c>
      <c r="F55" s="33" t="s">
        <v>55</v>
      </c>
      <c r="G55" s="33">
        <v>2</v>
      </c>
      <c r="H55" s="33"/>
      <c r="I55" s="39">
        <v>205000</v>
      </c>
      <c r="J55" s="39">
        <v>410000</v>
      </c>
      <c r="K55" s="33" t="s">
        <v>56</v>
      </c>
      <c r="L55" s="33" t="s">
        <v>218</v>
      </c>
      <c r="M55" s="33" t="s">
        <v>225</v>
      </c>
    </row>
    <row r="56" spans="1:13" x14ac:dyDescent="0.25">
      <c r="A56" s="33" t="s">
        <v>226</v>
      </c>
      <c r="B56" s="33"/>
      <c r="C56" s="33" t="s">
        <v>30</v>
      </c>
      <c r="D56" s="33"/>
      <c r="E56" s="33" t="s">
        <v>227</v>
      </c>
      <c r="F56" s="33" t="s">
        <v>55</v>
      </c>
      <c r="G56" s="33">
        <v>2</v>
      </c>
      <c r="H56" s="33"/>
      <c r="I56" s="39">
        <v>110000</v>
      </c>
      <c r="J56" s="39">
        <v>220000</v>
      </c>
      <c r="K56" s="33" t="s">
        <v>56</v>
      </c>
      <c r="L56" s="33" t="s">
        <v>218</v>
      </c>
      <c r="M56" s="33" t="s">
        <v>228</v>
      </c>
    </row>
    <row r="57" spans="1:13" x14ac:dyDescent="0.25">
      <c r="A57" s="33" t="s">
        <v>229</v>
      </c>
      <c r="B57" s="33"/>
      <c r="C57" s="33" t="s">
        <v>30</v>
      </c>
      <c r="D57" s="33"/>
      <c r="E57" s="33" t="s">
        <v>230</v>
      </c>
      <c r="F57" s="33" t="s">
        <v>55</v>
      </c>
      <c r="G57" s="33">
        <v>1</v>
      </c>
      <c r="H57" s="33"/>
      <c r="I57" s="39">
        <v>4000000</v>
      </c>
      <c r="J57" s="39">
        <v>4000000</v>
      </c>
      <c r="K57" s="33" t="s">
        <v>56</v>
      </c>
      <c r="L57" s="33" t="s">
        <v>231</v>
      </c>
      <c r="M57" s="33" t="s">
        <v>232</v>
      </c>
    </row>
    <row r="58" spans="1:13" x14ac:dyDescent="0.25">
      <c r="A58" s="33" t="s">
        <v>233</v>
      </c>
      <c r="B58" s="33"/>
      <c r="C58" s="33" t="s">
        <v>30</v>
      </c>
      <c r="D58" s="33"/>
      <c r="E58" s="33" t="s">
        <v>234</v>
      </c>
      <c r="F58" s="33" t="s">
        <v>55</v>
      </c>
      <c r="G58" s="33">
        <v>3</v>
      </c>
      <c r="H58" s="33"/>
      <c r="I58" s="39">
        <v>40000</v>
      </c>
      <c r="J58" s="39">
        <v>120000</v>
      </c>
      <c r="K58" s="33" t="s">
        <v>56</v>
      </c>
      <c r="L58" s="33"/>
      <c r="M58" s="33" t="s">
        <v>235</v>
      </c>
    </row>
    <row r="59" spans="1:13" x14ac:dyDescent="0.25">
      <c r="A59" s="33" t="s">
        <v>236</v>
      </c>
      <c r="B59" s="33"/>
      <c r="C59" s="33" t="s">
        <v>30</v>
      </c>
      <c r="D59" s="33"/>
      <c r="E59" s="33" t="s">
        <v>237</v>
      </c>
      <c r="F59" s="33" t="s">
        <v>55</v>
      </c>
      <c r="G59" s="33"/>
      <c r="H59" s="33"/>
      <c r="I59" s="39">
        <v>100</v>
      </c>
      <c r="J59" s="39">
        <v>100000</v>
      </c>
      <c r="K59" s="33" t="s">
        <v>56</v>
      </c>
      <c r="L59" s="33"/>
      <c r="M59" s="33" t="s">
        <v>238</v>
      </c>
    </row>
    <row r="60" spans="1:13" x14ac:dyDescent="0.25">
      <c r="A60" s="33" t="s">
        <v>239</v>
      </c>
      <c r="B60" s="33"/>
      <c r="C60" s="33" t="s">
        <v>30</v>
      </c>
      <c r="D60" s="33"/>
      <c r="E60" s="33" t="s">
        <v>240</v>
      </c>
      <c r="F60" s="33" t="s">
        <v>55</v>
      </c>
      <c r="G60" s="33"/>
      <c r="H60" s="33"/>
      <c r="I60" s="39"/>
      <c r="J60" s="39">
        <v>1000000</v>
      </c>
      <c r="K60" s="33" t="s">
        <v>56</v>
      </c>
      <c r="L60" s="33" t="s">
        <v>241</v>
      </c>
      <c r="M60" s="33" t="s">
        <v>242</v>
      </c>
    </row>
    <row r="61" spans="1:13" ht="30" x14ac:dyDescent="0.25">
      <c r="A61" s="33" t="s">
        <v>243</v>
      </c>
      <c r="B61" s="33"/>
      <c r="C61" s="33" t="s">
        <v>30</v>
      </c>
      <c r="D61" s="33"/>
      <c r="E61" s="33" t="s">
        <v>244</v>
      </c>
      <c r="F61" s="33" t="s">
        <v>55</v>
      </c>
      <c r="G61" s="33"/>
      <c r="H61" s="33"/>
      <c r="I61" s="39">
        <v>1540000</v>
      </c>
      <c r="J61" s="39">
        <v>1540000</v>
      </c>
      <c r="K61" s="33" t="s">
        <v>56</v>
      </c>
      <c r="L61" s="33" t="s">
        <v>245</v>
      </c>
      <c r="M61" s="33" t="s">
        <v>246</v>
      </c>
    </row>
    <row r="62" spans="1:13" x14ac:dyDescent="0.25">
      <c r="A62" s="33" t="s">
        <v>247</v>
      </c>
      <c r="B62" s="33"/>
      <c r="C62" s="33" t="s">
        <v>30</v>
      </c>
      <c r="D62" s="33"/>
      <c r="E62" s="33" t="s">
        <v>248</v>
      </c>
      <c r="F62" s="33" t="s">
        <v>55</v>
      </c>
      <c r="G62" s="33">
        <v>60</v>
      </c>
      <c r="H62" s="33"/>
      <c r="I62" s="39"/>
      <c r="J62" s="39">
        <v>1320000</v>
      </c>
      <c r="K62" s="33" t="s">
        <v>56</v>
      </c>
      <c r="L62" s="33"/>
      <c r="M62" s="33" t="s">
        <v>249</v>
      </c>
    </row>
    <row r="63" spans="1:13" x14ac:dyDescent="0.25">
      <c r="A63" s="33" t="s">
        <v>250</v>
      </c>
      <c r="B63" s="33"/>
      <c r="C63" s="33" t="s">
        <v>30</v>
      </c>
      <c r="D63" s="33"/>
      <c r="E63" s="33" t="s">
        <v>251</v>
      </c>
      <c r="F63" s="33" t="s">
        <v>55</v>
      </c>
      <c r="G63" s="33">
        <v>16</v>
      </c>
      <c r="H63" s="33"/>
      <c r="I63" s="39">
        <v>35000</v>
      </c>
      <c r="J63" s="39">
        <v>560000</v>
      </c>
      <c r="K63" s="33" t="s">
        <v>56</v>
      </c>
      <c r="L63" s="33" t="s">
        <v>252</v>
      </c>
      <c r="M63" s="33" t="s">
        <v>253</v>
      </c>
    </row>
    <row r="64" spans="1:13" x14ac:dyDescent="0.25">
      <c r="A64" s="33" t="s">
        <v>254</v>
      </c>
      <c r="B64" s="33"/>
      <c r="C64" s="33" t="s">
        <v>30</v>
      </c>
      <c r="D64" s="33"/>
      <c r="E64" s="33" t="s">
        <v>255</v>
      </c>
      <c r="F64" s="33" t="s">
        <v>55</v>
      </c>
      <c r="G64" s="33"/>
      <c r="H64" s="33"/>
      <c r="I64" s="39">
        <v>120000</v>
      </c>
      <c r="J64" s="39">
        <v>480000</v>
      </c>
      <c r="K64" s="33" t="s">
        <v>56</v>
      </c>
      <c r="L64" s="33"/>
      <c r="M64" s="33" t="s">
        <v>256</v>
      </c>
    </row>
    <row r="65" spans="1:13" x14ac:dyDescent="0.25">
      <c r="A65" s="33" t="s">
        <v>257</v>
      </c>
      <c r="B65" s="33"/>
      <c r="C65" s="33" t="s">
        <v>30</v>
      </c>
      <c r="D65" s="33"/>
      <c r="E65" s="33" t="s">
        <v>258</v>
      </c>
      <c r="F65" s="33" t="s">
        <v>55</v>
      </c>
      <c r="G65" s="33">
        <v>1</v>
      </c>
      <c r="H65" s="33"/>
      <c r="I65" s="39"/>
      <c r="J65" s="39">
        <v>160000</v>
      </c>
      <c r="K65" s="33" t="s">
        <v>56</v>
      </c>
      <c r="L65" s="33" t="s">
        <v>259</v>
      </c>
      <c r="M65" s="33" t="s">
        <v>260</v>
      </c>
    </row>
    <row r="66" spans="1:13" x14ac:dyDescent="0.25">
      <c r="A66" s="33" t="s">
        <v>261</v>
      </c>
      <c r="B66" s="33"/>
      <c r="C66" s="33" t="s">
        <v>30</v>
      </c>
      <c r="D66" s="33"/>
      <c r="E66" s="33" t="s">
        <v>262</v>
      </c>
      <c r="F66" s="33" t="s">
        <v>55</v>
      </c>
      <c r="G66" s="33">
        <v>1</v>
      </c>
      <c r="H66" s="33"/>
      <c r="I66" s="39"/>
      <c r="J66" s="39">
        <v>250000</v>
      </c>
      <c r="K66" s="33" t="s">
        <v>56</v>
      </c>
      <c r="L66" s="33"/>
      <c r="M66" s="33" t="s">
        <v>263</v>
      </c>
    </row>
    <row r="67" spans="1:13" x14ac:dyDescent="0.25">
      <c r="A67" s="33" t="s">
        <v>264</v>
      </c>
      <c r="B67" s="33"/>
      <c r="C67" s="33" t="s">
        <v>30</v>
      </c>
      <c r="D67" s="33"/>
      <c r="E67" s="33" t="s">
        <v>265</v>
      </c>
      <c r="F67" s="33" t="s">
        <v>55</v>
      </c>
      <c r="G67" s="33">
        <v>60</v>
      </c>
      <c r="H67" s="33"/>
      <c r="I67" s="39">
        <v>35000</v>
      </c>
      <c r="J67" s="39">
        <v>2100000</v>
      </c>
      <c r="K67" s="33" t="s">
        <v>56</v>
      </c>
      <c r="L67" s="33"/>
      <c r="M67" s="33" t="s">
        <v>266</v>
      </c>
    </row>
    <row r="68" spans="1:13" x14ac:dyDescent="0.25">
      <c r="A68" s="33" t="s">
        <v>267</v>
      </c>
      <c r="B68" s="33"/>
      <c r="C68" s="33" t="s">
        <v>30</v>
      </c>
      <c r="D68" s="33"/>
      <c r="E68" s="33" t="s">
        <v>268</v>
      </c>
      <c r="F68" s="33" t="s">
        <v>55</v>
      </c>
      <c r="G68" s="33">
        <v>1</v>
      </c>
      <c r="H68" s="33"/>
      <c r="I68" s="39"/>
      <c r="J68" s="39">
        <v>220000</v>
      </c>
      <c r="K68" s="33" t="s">
        <v>56</v>
      </c>
      <c r="L68" s="33"/>
      <c r="M68" s="33" t="s">
        <v>269</v>
      </c>
    </row>
    <row r="69" spans="1:13" x14ac:dyDescent="0.25">
      <c r="A69" s="33" t="s">
        <v>270</v>
      </c>
      <c r="B69" s="33"/>
      <c r="C69" s="33" t="s">
        <v>30</v>
      </c>
      <c r="D69" s="33"/>
      <c r="E69" s="33" t="s">
        <v>271</v>
      </c>
      <c r="F69" s="33" t="s">
        <v>55</v>
      </c>
      <c r="G69" s="33">
        <v>8</v>
      </c>
      <c r="H69" s="33"/>
      <c r="I69" s="39">
        <v>28000</v>
      </c>
      <c r="J69" s="39">
        <v>224000</v>
      </c>
      <c r="K69" s="33" t="s">
        <v>56</v>
      </c>
      <c r="L69" s="33"/>
      <c r="M69" s="33" t="s">
        <v>272</v>
      </c>
    </row>
    <row r="70" spans="1:13" x14ac:dyDescent="0.25">
      <c r="A70" s="33" t="s">
        <v>273</v>
      </c>
      <c r="B70" s="33"/>
      <c r="C70" s="33" t="s">
        <v>30</v>
      </c>
      <c r="D70" s="33"/>
      <c r="E70" s="33" t="s">
        <v>274</v>
      </c>
      <c r="F70" s="33" t="s">
        <v>55</v>
      </c>
      <c r="G70" s="33">
        <v>1</v>
      </c>
      <c r="H70" s="33"/>
      <c r="I70" s="39"/>
      <c r="J70" s="39">
        <v>750000</v>
      </c>
      <c r="K70" s="33" t="s">
        <v>56</v>
      </c>
      <c r="L70" s="33"/>
      <c r="M70" s="33" t="s">
        <v>275</v>
      </c>
    </row>
    <row r="71" spans="1:13" x14ac:dyDescent="0.25">
      <c r="A71" s="33" t="s">
        <v>276</v>
      </c>
      <c r="B71" s="33"/>
      <c r="C71" s="33" t="s">
        <v>30</v>
      </c>
      <c r="D71" s="33"/>
      <c r="E71" s="33" t="s">
        <v>277</v>
      </c>
      <c r="F71" s="33" t="s">
        <v>55</v>
      </c>
      <c r="G71" s="33">
        <v>20</v>
      </c>
      <c r="H71" s="33"/>
      <c r="I71" s="39">
        <v>810000</v>
      </c>
      <c r="J71" s="39">
        <v>1620000</v>
      </c>
      <c r="K71" s="33" t="s">
        <v>56</v>
      </c>
      <c r="L71" s="33"/>
      <c r="M71" s="33" t="s">
        <v>278</v>
      </c>
    </row>
    <row r="72" spans="1:13" x14ac:dyDescent="0.25">
      <c r="A72" s="33" t="s">
        <v>279</v>
      </c>
      <c r="B72" s="33"/>
      <c r="C72" s="33" t="s">
        <v>30</v>
      </c>
      <c r="D72" s="33"/>
      <c r="E72" s="33" t="s">
        <v>280</v>
      </c>
      <c r="F72" s="33" t="s">
        <v>55</v>
      </c>
      <c r="G72" s="33">
        <v>4</v>
      </c>
      <c r="H72" s="33"/>
      <c r="I72" s="39">
        <v>110000</v>
      </c>
      <c r="J72" s="39">
        <v>440000</v>
      </c>
      <c r="K72" s="33" t="s">
        <v>56</v>
      </c>
      <c r="L72" s="33"/>
      <c r="M72" s="33" t="s">
        <v>281</v>
      </c>
    </row>
    <row r="73" spans="1:13" x14ac:dyDescent="0.25">
      <c r="A73" s="33" t="s">
        <v>282</v>
      </c>
      <c r="B73" s="33"/>
      <c r="C73" s="33" t="s">
        <v>30</v>
      </c>
      <c r="D73" s="33"/>
      <c r="E73" s="33" t="s">
        <v>283</v>
      </c>
      <c r="F73" s="33" t="s">
        <v>55</v>
      </c>
      <c r="G73" s="33">
        <v>2</v>
      </c>
      <c r="H73" s="33"/>
      <c r="I73" s="39">
        <v>110000</v>
      </c>
      <c r="J73" s="39">
        <v>220000</v>
      </c>
      <c r="K73" s="33" t="s">
        <v>56</v>
      </c>
      <c r="L73" s="33"/>
      <c r="M73" s="33" t="s">
        <v>284</v>
      </c>
    </row>
    <row r="74" spans="1:13" x14ac:dyDescent="0.25">
      <c r="A74" s="33" t="s">
        <v>285</v>
      </c>
      <c r="B74" s="33"/>
      <c r="C74" s="33" t="s">
        <v>30</v>
      </c>
      <c r="D74" s="33"/>
      <c r="E74" s="33" t="s">
        <v>286</v>
      </c>
      <c r="F74" s="33" t="s">
        <v>55</v>
      </c>
      <c r="G74" s="33">
        <v>0.5</v>
      </c>
      <c r="H74" s="33"/>
      <c r="I74" s="39"/>
      <c r="J74" s="39">
        <v>190000</v>
      </c>
      <c r="K74" s="33" t="s">
        <v>56</v>
      </c>
      <c r="L74" s="33"/>
      <c r="M74" s="33" t="s">
        <v>287</v>
      </c>
    </row>
    <row r="75" spans="1:13" x14ac:dyDescent="0.25">
      <c r="A75" s="33" t="s">
        <v>288</v>
      </c>
      <c r="B75" s="33"/>
      <c r="C75" s="33" t="s">
        <v>30</v>
      </c>
      <c r="D75" s="33"/>
      <c r="E75" s="33" t="s">
        <v>289</v>
      </c>
      <c r="F75" s="33" t="s">
        <v>55</v>
      </c>
      <c r="G75" s="33">
        <v>4</v>
      </c>
      <c r="H75" s="33"/>
      <c r="I75" s="39">
        <v>25000</v>
      </c>
      <c r="J75" s="39">
        <v>100000</v>
      </c>
      <c r="K75" s="33" t="s">
        <v>56</v>
      </c>
      <c r="L75" s="33"/>
      <c r="M75" s="33" t="s">
        <v>290</v>
      </c>
    </row>
    <row r="76" spans="1:13" x14ac:dyDescent="0.25">
      <c r="A76" s="33" t="s">
        <v>291</v>
      </c>
      <c r="B76" s="33"/>
      <c r="C76" s="33" t="s">
        <v>30</v>
      </c>
      <c r="D76" s="33"/>
      <c r="E76" s="33" t="s">
        <v>292</v>
      </c>
      <c r="F76" s="33" t="s">
        <v>55</v>
      </c>
      <c r="G76" s="33"/>
      <c r="H76" s="33"/>
      <c r="I76" s="39"/>
      <c r="J76" s="39"/>
      <c r="K76" s="33" t="s">
        <v>56</v>
      </c>
      <c r="L76" s="33"/>
      <c r="M76" s="33" t="s">
        <v>293</v>
      </c>
    </row>
    <row r="77" spans="1:13" x14ac:dyDescent="0.25">
      <c r="A77" s="33" t="s">
        <v>294</v>
      </c>
      <c r="B77" s="33"/>
      <c r="C77" s="33" t="s">
        <v>30</v>
      </c>
      <c r="D77" s="33"/>
      <c r="E77" s="33" t="s">
        <v>295</v>
      </c>
      <c r="F77" s="33" t="s">
        <v>55</v>
      </c>
      <c r="G77" s="33">
        <v>93</v>
      </c>
      <c r="H77" s="33"/>
      <c r="I77" s="39">
        <v>51000</v>
      </c>
      <c r="J77" s="39">
        <v>4743000</v>
      </c>
      <c r="K77" s="33" t="s">
        <v>56</v>
      </c>
      <c r="L77" s="33"/>
      <c r="M77" s="33" t="s">
        <v>296</v>
      </c>
    </row>
    <row r="78" spans="1:13" ht="30" x14ac:dyDescent="0.25">
      <c r="A78" s="33" t="s">
        <v>297</v>
      </c>
      <c r="B78" s="33"/>
      <c r="C78" s="33" t="s">
        <v>30</v>
      </c>
      <c r="D78" s="33"/>
      <c r="E78" s="33" t="s">
        <v>298</v>
      </c>
      <c r="F78" s="33" t="s">
        <v>55</v>
      </c>
      <c r="G78" s="33"/>
      <c r="H78" s="33"/>
      <c r="I78" s="39"/>
      <c r="J78" s="39"/>
      <c r="K78" s="33" t="s">
        <v>56</v>
      </c>
      <c r="L78" s="33"/>
      <c r="M78" s="33" t="s">
        <v>299</v>
      </c>
    </row>
    <row r="79" spans="1:13" x14ac:dyDescent="0.25">
      <c r="A79" s="33" t="s">
        <v>300</v>
      </c>
      <c r="B79" s="33"/>
      <c r="C79" s="33" t="s">
        <v>30</v>
      </c>
      <c r="D79" s="33"/>
      <c r="E79" s="33"/>
      <c r="F79" s="33"/>
      <c r="G79" s="33"/>
      <c r="H79" s="33"/>
      <c r="I79" s="39"/>
      <c r="J79" s="39" t="str">
        <f t="shared" ref="J79:J110" si="0">IF(OR(G79="",I79=""),"",G79*I79)</f>
        <v/>
      </c>
      <c r="K79" s="33" t="s">
        <v>56</v>
      </c>
      <c r="L79" s="33"/>
      <c r="M79" s="33"/>
    </row>
    <row r="80" spans="1:13" x14ac:dyDescent="0.25">
      <c r="A80" s="33" t="s">
        <v>301</v>
      </c>
      <c r="B80" s="33"/>
      <c r="C80" s="33" t="s">
        <v>30</v>
      </c>
      <c r="D80" s="33"/>
      <c r="E80" s="33"/>
      <c r="F80" s="33"/>
      <c r="G80" s="33"/>
      <c r="H80" s="33"/>
      <c r="I80" s="39"/>
      <c r="J80" s="39" t="str">
        <f t="shared" si="0"/>
        <v/>
      </c>
      <c r="K80" s="33" t="s">
        <v>56</v>
      </c>
      <c r="L80" s="33"/>
      <c r="M80" s="33"/>
    </row>
    <row r="81" spans="1:13" x14ac:dyDescent="0.25">
      <c r="A81" s="33" t="s">
        <v>302</v>
      </c>
      <c r="B81" s="33"/>
      <c r="C81" s="33" t="s">
        <v>30</v>
      </c>
      <c r="D81" s="33"/>
      <c r="E81" s="33"/>
      <c r="F81" s="33"/>
      <c r="G81" s="33"/>
      <c r="H81" s="33"/>
      <c r="I81" s="39"/>
      <c r="J81" s="39" t="str">
        <f t="shared" si="0"/>
        <v/>
      </c>
      <c r="K81" s="33" t="s">
        <v>56</v>
      </c>
      <c r="L81" s="33"/>
      <c r="M81" s="33"/>
    </row>
    <row r="82" spans="1:13" x14ac:dyDescent="0.25">
      <c r="A82" s="33" t="s">
        <v>303</v>
      </c>
      <c r="B82" s="33"/>
      <c r="C82" s="33" t="s">
        <v>30</v>
      </c>
      <c r="D82" s="33"/>
      <c r="E82" s="33"/>
      <c r="F82" s="33"/>
      <c r="G82" s="33"/>
      <c r="H82" s="33"/>
      <c r="I82" s="39"/>
      <c r="J82" s="39" t="str">
        <f t="shared" si="0"/>
        <v/>
      </c>
      <c r="K82" s="33" t="s">
        <v>56</v>
      </c>
      <c r="L82" s="33"/>
      <c r="M82" s="33"/>
    </row>
    <row r="83" spans="1:13" x14ac:dyDescent="0.25">
      <c r="A83" s="33" t="s">
        <v>304</v>
      </c>
      <c r="B83" s="33"/>
      <c r="C83" s="33" t="s">
        <v>30</v>
      </c>
      <c r="D83" s="33"/>
      <c r="E83" s="33"/>
      <c r="F83" s="33"/>
      <c r="G83" s="33"/>
      <c r="H83" s="33"/>
      <c r="I83" s="39"/>
      <c r="J83" s="39" t="str">
        <f t="shared" si="0"/>
        <v/>
      </c>
      <c r="K83" s="33" t="s">
        <v>56</v>
      </c>
      <c r="L83" s="33"/>
      <c r="M83" s="33"/>
    </row>
    <row r="84" spans="1:13" x14ac:dyDescent="0.25">
      <c r="A84" s="33" t="s">
        <v>305</v>
      </c>
      <c r="B84" s="33"/>
      <c r="C84" s="33" t="s">
        <v>30</v>
      </c>
      <c r="D84" s="33"/>
      <c r="E84" s="33"/>
      <c r="F84" s="33"/>
      <c r="G84" s="33"/>
      <c r="H84" s="33"/>
      <c r="I84" s="39"/>
      <c r="J84" s="39" t="str">
        <f t="shared" si="0"/>
        <v/>
      </c>
      <c r="K84" s="33" t="s">
        <v>56</v>
      </c>
      <c r="L84" s="33"/>
      <c r="M84" s="33"/>
    </row>
    <row r="85" spans="1:13" x14ac:dyDescent="0.25">
      <c r="A85" s="33" t="s">
        <v>306</v>
      </c>
      <c r="B85" s="33"/>
      <c r="C85" s="33" t="s">
        <v>30</v>
      </c>
      <c r="D85" s="33"/>
      <c r="E85" s="33"/>
      <c r="F85" s="33"/>
      <c r="G85" s="33"/>
      <c r="H85" s="33"/>
      <c r="I85" s="39"/>
      <c r="J85" s="39" t="str">
        <f t="shared" si="0"/>
        <v/>
      </c>
      <c r="K85" s="33" t="s">
        <v>56</v>
      </c>
      <c r="L85" s="33"/>
      <c r="M85" s="33"/>
    </row>
    <row r="86" spans="1:13" x14ac:dyDescent="0.25">
      <c r="A86" s="33" t="s">
        <v>307</v>
      </c>
      <c r="B86" s="33"/>
      <c r="C86" s="33" t="s">
        <v>30</v>
      </c>
      <c r="D86" s="33"/>
      <c r="E86" s="33"/>
      <c r="F86" s="33"/>
      <c r="G86" s="33"/>
      <c r="H86" s="33"/>
      <c r="I86" s="39"/>
      <c r="J86" s="39" t="str">
        <f t="shared" si="0"/>
        <v/>
      </c>
      <c r="K86" s="33" t="s">
        <v>56</v>
      </c>
      <c r="L86" s="33"/>
      <c r="M86" s="33"/>
    </row>
    <row r="87" spans="1:13" x14ac:dyDescent="0.25">
      <c r="A87" s="33" t="s">
        <v>308</v>
      </c>
      <c r="B87" s="33"/>
      <c r="C87" s="33" t="s">
        <v>30</v>
      </c>
      <c r="D87" s="33"/>
      <c r="E87" s="33"/>
      <c r="F87" s="33"/>
      <c r="G87" s="33"/>
      <c r="H87" s="33"/>
      <c r="I87" s="39"/>
      <c r="J87" s="39" t="str">
        <f t="shared" si="0"/>
        <v/>
      </c>
      <c r="K87" s="33" t="s">
        <v>56</v>
      </c>
      <c r="L87" s="33"/>
      <c r="M87" s="33"/>
    </row>
    <row r="88" spans="1:13" x14ac:dyDescent="0.25">
      <c r="A88" s="33" t="s">
        <v>309</v>
      </c>
      <c r="B88" s="33"/>
      <c r="C88" s="33" t="s">
        <v>30</v>
      </c>
      <c r="D88" s="33"/>
      <c r="E88" s="33"/>
      <c r="F88" s="33"/>
      <c r="G88" s="33"/>
      <c r="H88" s="33"/>
      <c r="I88" s="39"/>
      <c r="J88" s="39" t="str">
        <f t="shared" si="0"/>
        <v/>
      </c>
      <c r="K88" s="33" t="s">
        <v>56</v>
      </c>
      <c r="L88" s="33"/>
      <c r="M88" s="33"/>
    </row>
    <row r="89" spans="1:13" x14ac:dyDescent="0.25">
      <c r="A89" s="33" t="s">
        <v>310</v>
      </c>
      <c r="B89" s="33"/>
      <c r="C89" s="33" t="s">
        <v>30</v>
      </c>
      <c r="D89" s="33"/>
      <c r="E89" s="33"/>
      <c r="F89" s="33"/>
      <c r="G89" s="33"/>
      <c r="H89" s="33"/>
      <c r="I89" s="39"/>
      <c r="J89" s="39" t="str">
        <f t="shared" si="0"/>
        <v/>
      </c>
      <c r="K89" s="33" t="s">
        <v>56</v>
      </c>
      <c r="L89" s="33"/>
      <c r="M89" s="33"/>
    </row>
    <row r="90" spans="1:13" x14ac:dyDescent="0.25">
      <c r="A90" s="33" t="s">
        <v>311</v>
      </c>
      <c r="B90" s="33"/>
      <c r="C90" s="33" t="s">
        <v>30</v>
      </c>
      <c r="D90" s="33"/>
      <c r="E90" s="33"/>
      <c r="F90" s="33"/>
      <c r="G90" s="33"/>
      <c r="H90" s="33"/>
      <c r="I90" s="39"/>
      <c r="J90" s="39" t="str">
        <f t="shared" si="0"/>
        <v/>
      </c>
      <c r="K90" s="33" t="s">
        <v>56</v>
      </c>
      <c r="L90" s="33"/>
      <c r="M90" s="33"/>
    </row>
    <row r="91" spans="1:13" x14ac:dyDescent="0.25">
      <c r="A91" s="33" t="s">
        <v>312</v>
      </c>
      <c r="B91" s="33"/>
      <c r="C91" s="33" t="s">
        <v>30</v>
      </c>
      <c r="D91" s="33"/>
      <c r="E91" s="33"/>
      <c r="F91" s="33"/>
      <c r="G91" s="33"/>
      <c r="H91" s="33"/>
      <c r="I91" s="39"/>
      <c r="J91" s="39" t="str">
        <f t="shared" si="0"/>
        <v/>
      </c>
      <c r="K91" s="33" t="s">
        <v>56</v>
      </c>
      <c r="L91" s="33"/>
      <c r="M91" s="33"/>
    </row>
    <row r="92" spans="1:13" x14ac:dyDescent="0.25">
      <c r="A92" s="33" t="s">
        <v>313</v>
      </c>
      <c r="B92" s="33"/>
      <c r="C92" s="33" t="s">
        <v>30</v>
      </c>
      <c r="D92" s="33"/>
      <c r="E92" s="33"/>
      <c r="F92" s="33"/>
      <c r="G92" s="33"/>
      <c r="H92" s="33"/>
      <c r="I92" s="39"/>
      <c r="J92" s="39" t="str">
        <f t="shared" si="0"/>
        <v/>
      </c>
      <c r="K92" s="33" t="s">
        <v>56</v>
      </c>
      <c r="L92" s="33"/>
      <c r="M92" s="33"/>
    </row>
    <row r="93" spans="1:13" x14ac:dyDescent="0.25">
      <c r="A93" s="33" t="s">
        <v>314</v>
      </c>
      <c r="B93" s="33"/>
      <c r="C93" s="33" t="s">
        <v>30</v>
      </c>
      <c r="D93" s="33"/>
      <c r="E93" s="33"/>
      <c r="F93" s="33"/>
      <c r="G93" s="33"/>
      <c r="H93" s="33"/>
      <c r="I93" s="39"/>
      <c r="J93" s="39" t="str">
        <f t="shared" si="0"/>
        <v/>
      </c>
      <c r="K93" s="33" t="s">
        <v>56</v>
      </c>
      <c r="L93" s="33"/>
      <c r="M93" s="33"/>
    </row>
    <row r="94" spans="1:13" x14ac:dyDescent="0.25">
      <c r="A94" s="33" t="s">
        <v>315</v>
      </c>
      <c r="B94" s="33"/>
      <c r="C94" s="33" t="s">
        <v>30</v>
      </c>
      <c r="D94" s="33"/>
      <c r="E94" s="33"/>
      <c r="F94" s="33"/>
      <c r="G94" s="33"/>
      <c r="H94" s="33"/>
      <c r="I94" s="39"/>
      <c r="J94" s="39" t="str">
        <f t="shared" si="0"/>
        <v/>
      </c>
      <c r="K94" s="33" t="s">
        <v>56</v>
      </c>
      <c r="L94" s="33"/>
      <c r="M94" s="33"/>
    </row>
    <row r="95" spans="1:13" x14ac:dyDescent="0.25">
      <c r="A95" s="33" t="s">
        <v>316</v>
      </c>
      <c r="B95" s="33"/>
      <c r="C95" s="33" t="s">
        <v>30</v>
      </c>
      <c r="D95" s="33"/>
      <c r="E95" s="33"/>
      <c r="F95" s="33"/>
      <c r="G95" s="33"/>
      <c r="H95" s="33"/>
      <c r="I95" s="39"/>
      <c r="J95" s="39" t="str">
        <f t="shared" si="0"/>
        <v/>
      </c>
      <c r="K95" s="33" t="s">
        <v>56</v>
      </c>
      <c r="L95" s="33"/>
      <c r="M95" s="33"/>
    </row>
    <row r="96" spans="1:13" x14ac:dyDescent="0.25">
      <c r="A96" s="33" t="s">
        <v>317</v>
      </c>
      <c r="B96" s="33"/>
      <c r="C96" s="33" t="s">
        <v>30</v>
      </c>
      <c r="D96" s="33"/>
      <c r="E96" s="33"/>
      <c r="F96" s="33"/>
      <c r="G96" s="33"/>
      <c r="H96" s="33"/>
      <c r="I96" s="39"/>
      <c r="J96" s="39" t="str">
        <f t="shared" si="0"/>
        <v/>
      </c>
      <c r="K96" s="33" t="s">
        <v>56</v>
      </c>
      <c r="L96" s="33"/>
      <c r="M96" s="33"/>
    </row>
    <row r="97" spans="1:13" x14ac:dyDescent="0.25">
      <c r="A97" s="33" t="s">
        <v>318</v>
      </c>
      <c r="B97" s="33"/>
      <c r="C97" s="33" t="s">
        <v>30</v>
      </c>
      <c r="D97" s="33"/>
      <c r="E97" s="33"/>
      <c r="F97" s="33"/>
      <c r="G97" s="33"/>
      <c r="H97" s="33"/>
      <c r="I97" s="39"/>
      <c r="J97" s="39" t="str">
        <f t="shared" si="0"/>
        <v/>
      </c>
      <c r="K97" s="33" t="s">
        <v>56</v>
      </c>
      <c r="L97" s="33"/>
      <c r="M97" s="33"/>
    </row>
    <row r="98" spans="1:13" x14ac:dyDescent="0.25">
      <c r="A98" s="33" t="s">
        <v>319</v>
      </c>
      <c r="B98" s="33"/>
      <c r="C98" s="33" t="s">
        <v>30</v>
      </c>
      <c r="D98" s="33"/>
      <c r="E98" s="33"/>
      <c r="F98" s="33"/>
      <c r="G98" s="33"/>
      <c r="H98" s="33"/>
      <c r="I98" s="39"/>
      <c r="J98" s="39" t="str">
        <f t="shared" si="0"/>
        <v/>
      </c>
      <c r="K98" s="33" t="s">
        <v>56</v>
      </c>
      <c r="L98" s="33"/>
      <c r="M98" s="33"/>
    </row>
    <row r="99" spans="1:13" x14ac:dyDescent="0.25">
      <c r="A99" s="33" t="s">
        <v>320</v>
      </c>
      <c r="B99" s="33"/>
      <c r="C99" s="33" t="s">
        <v>30</v>
      </c>
      <c r="D99" s="33"/>
      <c r="E99" s="33"/>
      <c r="F99" s="33"/>
      <c r="G99" s="33"/>
      <c r="H99" s="33"/>
      <c r="I99" s="39"/>
      <c r="J99" s="39" t="str">
        <f t="shared" si="0"/>
        <v/>
      </c>
      <c r="K99" s="33" t="s">
        <v>56</v>
      </c>
      <c r="L99" s="33"/>
      <c r="M99" s="33"/>
    </row>
    <row r="100" spans="1:13" x14ac:dyDescent="0.25">
      <c r="A100" s="33" t="s">
        <v>321</v>
      </c>
      <c r="B100" s="33"/>
      <c r="C100" s="33" t="s">
        <v>30</v>
      </c>
      <c r="D100" s="33"/>
      <c r="E100" s="33"/>
      <c r="F100" s="33"/>
      <c r="G100" s="33"/>
      <c r="H100" s="33"/>
      <c r="I100" s="39"/>
      <c r="J100" s="39" t="str">
        <f t="shared" si="0"/>
        <v/>
      </c>
      <c r="K100" s="33" t="s">
        <v>56</v>
      </c>
      <c r="L100" s="33"/>
      <c r="M100" s="33"/>
    </row>
    <row r="101" spans="1:13" x14ac:dyDescent="0.25">
      <c r="A101" s="33" t="s">
        <v>322</v>
      </c>
      <c r="B101" s="33"/>
      <c r="C101" s="33" t="s">
        <v>30</v>
      </c>
      <c r="D101" s="33"/>
      <c r="E101" s="33"/>
      <c r="F101" s="33"/>
      <c r="G101" s="33"/>
      <c r="H101" s="33"/>
      <c r="I101" s="39"/>
      <c r="J101" s="39" t="str">
        <f t="shared" si="0"/>
        <v/>
      </c>
      <c r="K101" s="33" t="s">
        <v>56</v>
      </c>
      <c r="L101" s="33"/>
      <c r="M101" s="33"/>
    </row>
    <row r="102" spans="1:13" x14ac:dyDescent="0.25">
      <c r="A102" s="33" t="s">
        <v>323</v>
      </c>
      <c r="B102" s="33"/>
      <c r="C102" s="33" t="s">
        <v>30</v>
      </c>
      <c r="D102" s="33"/>
      <c r="E102" s="33"/>
      <c r="F102" s="33"/>
      <c r="G102" s="33"/>
      <c r="H102" s="33"/>
      <c r="I102" s="39"/>
      <c r="J102" s="39" t="str">
        <f t="shared" si="0"/>
        <v/>
      </c>
      <c r="K102" s="33" t="s">
        <v>56</v>
      </c>
      <c r="L102" s="33"/>
      <c r="M102" s="33"/>
    </row>
    <row r="103" spans="1:13" x14ac:dyDescent="0.25">
      <c r="A103" s="33" t="s">
        <v>324</v>
      </c>
      <c r="B103" s="33"/>
      <c r="C103" s="33" t="s">
        <v>30</v>
      </c>
      <c r="D103" s="33"/>
      <c r="E103" s="33"/>
      <c r="F103" s="33"/>
      <c r="G103" s="33"/>
      <c r="H103" s="33"/>
      <c r="I103" s="39"/>
      <c r="J103" s="39" t="str">
        <f t="shared" si="0"/>
        <v/>
      </c>
      <c r="K103" s="33" t="s">
        <v>56</v>
      </c>
      <c r="L103" s="33"/>
      <c r="M103" s="33"/>
    </row>
    <row r="104" spans="1:13" x14ac:dyDescent="0.25">
      <c r="A104" s="33" t="s">
        <v>325</v>
      </c>
      <c r="B104" s="33"/>
      <c r="C104" s="33" t="s">
        <v>30</v>
      </c>
      <c r="D104" s="33"/>
      <c r="E104" s="33"/>
      <c r="F104" s="33"/>
      <c r="G104" s="33"/>
      <c r="H104" s="33"/>
      <c r="I104" s="39"/>
      <c r="J104" s="39" t="str">
        <f t="shared" si="0"/>
        <v/>
      </c>
      <c r="K104" s="33" t="s">
        <v>56</v>
      </c>
      <c r="L104" s="33"/>
      <c r="M104" s="33"/>
    </row>
    <row r="105" spans="1:13" x14ac:dyDescent="0.25">
      <c r="A105" s="33" t="s">
        <v>326</v>
      </c>
      <c r="B105" s="33"/>
      <c r="C105" s="33" t="s">
        <v>30</v>
      </c>
      <c r="D105" s="33"/>
      <c r="E105" s="33"/>
      <c r="F105" s="33"/>
      <c r="G105" s="33"/>
      <c r="H105" s="33"/>
      <c r="I105" s="39"/>
      <c r="J105" s="39" t="str">
        <f t="shared" si="0"/>
        <v/>
      </c>
      <c r="K105" s="33" t="s">
        <v>56</v>
      </c>
      <c r="L105" s="33"/>
      <c r="M105" s="33"/>
    </row>
    <row r="106" spans="1:13" x14ac:dyDescent="0.25">
      <c r="A106" s="33" t="s">
        <v>327</v>
      </c>
      <c r="B106" s="33"/>
      <c r="C106" s="33" t="s">
        <v>30</v>
      </c>
      <c r="D106" s="33"/>
      <c r="E106" s="33"/>
      <c r="F106" s="33"/>
      <c r="G106" s="33"/>
      <c r="H106" s="33"/>
      <c r="I106" s="39"/>
      <c r="J106" s="39" t="str">
        <f t="shared" si="0"/>
        <v/>
      </c>
      <c r="K106" s="33" t="s">
        <v>56</v>
      </c>
      <c r="L106" s="33"/>
      <c r="M106" s="33"/>
    </row>
    <row r="107" spans="1:13" x14ac:dyDescent="0.25">
      <c r="A107" s="33" t="s">
        <v>328</v>
      </c>
      <c r="B107" s="33"/>
      <c r="C107" s="33" t="s">
        <v>30</v>
      </c>
      <c r="D107" s="33"/>
      <c r="E107" s="33"/>
      <c r="F107" s="33"/>
      <c r="G107" s="33"/>
      <c r="H107" s="33"/>
      <c r="I107" s="39"/>
      <c r="J107" s="39" t="str">
        <f t="shared" si="0"/>
        <v/>
      </c>
      <c r="K107" s="33" t="s">
        <v>56</v>
      </c>
      <c r="L107" s="33"/>
      <c r="M107" s="33"/>
    </row>
    <row r="108" spans="1:13" x14ac:dyDescent="0.25">
      <c r="A108" s="33" t="s">
        <v>329</v>
      </c>
      <c r="B108" s="33"/>
      <c r="C108" s="33" t="s">
        <v>30</v>
      </c>
      <c r="D108" s="33"/>
      <c r="E108" s="33"/>
      <c r="F108" s="33"/>
      <c r="G108" s="33"/>
      <c r="H108" s="33"/>
      <c r="I108" s="39"/>
      <c r="J108" s="39" t="str">
        <f t="shared" si="0"/>
        <v/>
      </c>
      <c r="K108" s="33" t="s">
        <v>56</v>
      </c>
      <c r="L108" s="33"/>
      <c r="M108" s="33"/>
    </row>
    <row r="109" spans="1:13" x14ac:dyDescent="0.25">
      <c r="A109" s="33" t="s">
        <v>330</v>
      </c>
      <c r="B109" s="33"/>
      <c r="C109" s="33" t="s">
        <v>30</v>
      </c>
      <c r="D109" s="33"/>
      <c r="E109" s="33"/>
      <c r="F109" s="33"/>
      <c r="G109" s="33"/>
      <c r="H109" s="33"/>
      <c r="I109" s="39"/>
      <c r="J109" s="39" t="str">
        <f t="shared" si="0"/>
        <v/>
      </c>
      <c r="K109" s="33" t="s">
        <v>56</v>
      </c>
      <c r="L109" s="33"/>
      <c r="M109" s="33"/>
    </row>
    <row r="110" spans="1:13" x14ac:dyDescent="0.25">
      <c r="A110" s="33" t="s">
        <v>331</v>
      </c>
      <c r="B110" s="33"/>
      <c r="C110" s="33" t="s">
        <v>30</v>
      </c>
      <c r="D110" s="33"/>
      <c r="E110" s="33"/>
      <c r="F110" s="33"/>
      <c r="G110" s="33"/>
      <c r="H110" s="33"/>
      <c r="I110" s="39"/>
      <c r="J110" s="39" t="str">
        <f t="shared" si="0"/>
        <v/>
      </c>
      <c r="K110" s="33" t="s">
        <v>56</v>
      </c>
      <c r="L110" s="33"/>
      <c r="M110" s="33"/>
    </row>
    <row r="111" spans="1:13" x14ac:dyDescent="0.25">
      <c r="A111" s="33" t="s">
        <v>332</v>
      </c>
      <c r="B111" s="33"/>
      <c r="C111" s="33" t="s">
        <v>30</v>
      </c>
      <c r="D111" s="33"/>
      <c r="E111" s="33"/>
      <c r="F111" s="33"/>
      <c r="G111" s="33"/>
      <c r="H111" s="33"/>
      <c r="I111" s="39"/>
      <c r="J111" s="39" t="str">
        <f t="shared" ref="J111:J142" si="1">IF(OR(G111="",I111=""),"",G111*I111)</f>
        <v/>
      </c>
      <c r="K111" s="33" t="s">
        <v>56</v>
      </c>
      <c r="L111" s="33"/>
      <c r="M111" s="33"/>
    </row>
    <row r="112" spans="1:13" x14ac:dyDescent="0.25">
      <c r="A112" s="33" t="s">
        <v>333</v>
      </c>
      <c r="B112" s="33"/>
      <c r="C112" s="33" t="s">
        <v>30</v>
      </c>
      <c r="D112" s="33"/>
      <c r="E112" s="33"/>
      <c r="F112" s="33"/>
      <c r="G112" s="33"/>
      <c r="H112" s="33"/>
      <c r="I112" s="39"/>
      <c r="J112" s="39" t="str">
        <f t="shared" si="1"/>
        <v/>
      </c>
      <c r="K112" s="33" t="s">
        <v>56</v>
      </c>
      <c r="L112" s="33"/>
      <c r="M112" s="33"/>
    </row>
    <row r="113" spans="1:13" x14ac:dyDescent="0.25">
      <c r="A113" s="33" t="s">
        <v>334</v>
      </c>
      <c r="B113" s="33"/>
      <c r="C113" s="33" t="s">
        <v>30</v>
      </c>
      <c r="D113" s="33"/>
      <c r="E113" s="33"/>
      <c r="F113" s="33"/>
      <c r="G113" s="33"/>
      <c r="H113" s="33"/>
      <c r="I113" s="39"/>
      <c r="J113" s="39" t="str">
        <f t="shared" si="1"/>
        <v/>
      </c>
      <c r="K113" s="33" t="s">
        <v>56</v>
      </c>
      <c r="L113" s="33"/>
      <c r="M113" s="33"/>
    </row>
    <row r="114" spans="1:13" x14ac:dyDescent="0.25">
      <c r="A114" s="33" t="s">
        <v>335</v>
      </c>
      <c r="B114" s="33"/>
      <c r="C114" s="33" t="s">
        <v>30</v>
      </c>
      <c r="D114" s="33"/>
      <c r="E114" s="33"/>
      <c r="F114" s="33"/>
      <c r="G114" s="33"/>
      <c r="H114" s="33"/>
      <c r="I114" s="39"/>
      <c r="J114" s="39" t="str">
        <f t="shared" si="1"/>
        <v/>
      </c>
      <c r="K114" s="33" t="s">
        <v>56</v>
      </c>
      <c r="L114" s="33"/>
      <c r="M114" s="33"/>
    </row>
    <row r="115" spans="1:13" x14ac:dyDescent="0.25">
      <c r="A115" s="33" t="s">
        <v>336</v>
      </c>
      <c r="B115" s="33"/>
      <c r="C115" s="33" t="s">
        <v>30</v>
      </c>
      <c r="D115" s="33"/>
      <c r="E115" s="33"/>
      <c r="F115" s="33"/>
      <c r="G115" s="33"/>
      <c r="H115" s="33"/>
      <c r="I115" s="39"/>
      <c r="J115" s="39" t="str">
        <f t="shared" si="1"/>
        <v/>
      </c>
      <c r="K115" s="33" t="s">
        <v>56</v>
      </c>
      <c r="L115" s="33"/>
      <c r="M115" s="33"/>
    </row>
    <row r="116" spans="1:13" x14ac:dyDescent="0.25">
      <c r="A116" s="33" t="s">
        <v>337</v>
      </c>
      <c r="B116" s="33"/>
      <c r="C116" s="33" t="s">
        <v>30</v>
      </c>
      <c r="D116" s="33"/>
      <c r="E116" s="33"/>
      <c r="F116" s="33"/>
      <c r="G116" s="33"/>
      <c r="H116" s="33"/>
      <c r="I116" s="39"/>
      <c r="J116" s="39" t="str">
        <f t="shared" si="1"/>
        <v/>
      </c>
      <c r="K116" s="33" t="s">
        <v>56</v>
      </c>
      <c r="L116" s="33"/>
      <c r="M116" s="33"/>
    </row>
    <row r="117" spans="1:13" x14ac:dyDescent="0.25">
      <c r="A117" s="33" t="s">
        <v>338</v>
      </c>
      <c r="B117" s="33"/>
      <c r="C117" s="33" t="s">
        <v>30</v>
      </c>
      <c r="D117" s="33"/>
      <c r="E117" s="33"/>
      <c r="F117" s="33"/>
      <c r="G117" s="33"/>
      <c r="H117" s="33"/>
      <c r="I117" s="39"/>
      <c r="J117" s="39" t="str">
        <f t="shared" si="1"/>
        <v/>
      </c>
      <c r="K117" s="33" t="s">
        <v>56</v>
      </c>
      <c r="L117" s="33"/>
      <c r="M117" s="33"/>
    </row>
    <row r="118" spans="1:13" x14ac:dyDescent="0.25">
      <c r="A118" s="33" t="s">
        <v>339</v>
      </c>
      <c r="B118" s="33"/>
      <c r="C118" s="33" t="s">
        <v>30</v>
      </c>
      <c r="D118" s="33"/>
      <c r="E118" s="33"/>
      <c r="F118" s="33"/>
      <c r="G118" s="33"/>
      <c r="H118" s="33"/>
      <c r="I118" s="39"/>
      <c r="J118" s="39" t="str">
        <f t="shared" si="1"/>
        <v/>
      </c>
      <c r="K118" s="33" t="s">
        <v>56</v>
      </c>
      <c r="L118" s="33"/>
      <c r="M118" s="33"/>
    </row>
    <row r="119" spans="1:13" x14ac:dyDescent="0.25">
      <c r="A119" s="33" t="s">
        <v>340</v>
      </c>
      <c r="B119" s="33"/>
      <c r="C119" s="33" t="s">
        <v>30</v>
      </c>
      <c r="D119" s="33"/>
      <c r="E119" s="33"/>
      <c r="F119" s="33"/>
      <c r="G119" s="33"/>
      <c r="H119" s="33"/>
      <c r="I119" s="39"/>
      <c r="J119" s="39" t="str">
        <f t="shared" si="1"/>
        <v/>
      </c>
      <c r="K119" s="33" t="s">
        <v>56</v>
      </c>
      <c r="L119" s="33"/>
      <c r="M119" s="33"/>
    </row>
    <row r="120" spans="1:13" x14ac:dyDescent="0.25">
      <c r="A120" s="33" t="s">
        <v>341</v>
      </c>
      <c r="B120" s="33"/>
      <c r="C120" s="33" t="s">
        <v>30</v>
      </c>
      <c r="D120" s="33"/>
      <c r="E120" s="33"/>
      <c r="F120" s="33"/>
      <c r="G120" s="33"/>
      <c r="H120" s="33"/>
      <c r="I120" s="39"/>
      <c r="J120" s="39" t="str">
        <f t="shared" si="1"/>
        <v/>
      </c>
      <c r="K120" s="33" t="s">
        <v>56</v>
      </c>
      <c r="L120" s="33"/>
      <c r="M120" s="33"/>
    </row>
    <row r="121" spans="1:13" x14ac:dyDescent="0.25">
      <c r="A121" s="33" t="s">
        <v>342</v>
      </c>
      <c r="B121" s="33"/>
      <c r="C121" s="33" t="s">
        <v>30</v>
      </c>
      <c r="D121" s="33"/>
      <c r="E121" s="33"/>
      <c r="F121" s="33"/>
      <c r="G121" s="33"/>
      <c r="H121" s="33"/>
      <c r="I121" s="39"/>
      <c r="J121" s="39" t="str">
        <f t="shared" si="1"/>
        <v/>
      </c>
      <c r="K121" s="33" t="s">
        <v>56</v>
      </c>
      <c r="L121" s="33"/>
      <c r="M121" s="33"/>
    </row>
    <row r="122" spans="1:13" x14ac:dyDescent="0.25">
      <c r="A122" s="33" t="s">
        <v>343</v>
      </c>
      <c r="B122" s="33"/>
      <c r="C122" s="33" t="s">
        <v>30</v>
      </c>
      <c r="D122" s="33"/>
      <c r="E122" s="33"/>
      <c r="F122" s="33"/>
      <c r="G122" s="33"/>
      <c r="H122" s="33"/>
      <c r="I122" s="39"/>
      <c r="J122" s="39" t="str">
        <f t="shared" si="1"/>
        <v/>
      </c>
      <c r="K122" s="33" t="s">
        <v>56</v>
      </c>
      <c r="L122" s="33"/>
      <c r="M122" s="33"/>
    </row>
    <row r="123" spans="1:13" x14ac:dyDescent="0.25">
      <c r="A123" s="33" t="s">
        <v>344</v>
      </c>
      <c r="B123" s="33"/>
      <c r="C123" s="33" t="s">
        <v>30</v>
      </c>
      <c r="D123" s="33"/>
      <c r="E123" s="33"/>
      <c r="F123" s="33"/>
      <c r="G123" s="33"/>
      <c r="H123" s="33"/>
      <c r="I123" s="39"/>
      <c r="J123" s="39" t="str">
        <f t="shared" si="1"/>
        <v/>
      </c>
      <c r="K123" s="33" t="s">
        <v>56</v>
      </c>
      <c r="L123" s="33"/>
      <c r="M123" s="33"/>
    </row>
    <row r="124" spans="1:13" x14ac:dyDescent="0.25">
      <c r="A124" s="33" t="s">
        <v>345</v>
      </c>
      <c r="B124" s="33"/>
      <c r="C124" s="33" t="s">
        <v>30</v>
      </c>
      <c r="D124" s="33"/>
      <c r="E124" s="33"/>
      <c r="F124" s="33"/>
      <c r="G124" s="33"/>
      <c r="H124" s="33"/>
      <c r="I124" s="39"/>
      <c r="J124" s="39" t="str">
        <f t="shared" si="1"/>
        <v/>
      </c>
      <c r="K124" s="33" t="s">
        <v>56</v>
      </c>
      <c r="L124" s="33"/>
      <c r="M124" s="33"/>
    </row>
    <row r="125" spans="1:13" x14ac:dyDescent="0.25">
      <c r="A125" s="33" t="s">
        <v>346</v>
      </c>
      <c r="B125" s="33"/>
      <c r="C125" s="33" t="s">
        <v>30</v>
      </c>
      <c r="D125" s="33"/>
      <c r="E125" s="33"/>
      <c r="F125" s="33"/>
      <c r="G125" s="33"/>
      <c r="H125" s="33"/>
      <c r="I125" s="39"/>
      <c r="J125" s="39" t="str">
        <f t="shared" si="1"/>
        <v/>
      </c>
      <c r="K125" s="33" t="s">
        <v>56</v>
      </c>
      <c r="L125" s="33"/>
      <c r="M125" s="33"/>
    </row>
    <row r="126" spans="1:13" x14ac:dyDescent="0.25">
      <c r="A126" s="33" t="s">
        <v>347</v>
      </c>
      <c r="B126" s="33"/>
      <c r="C126" s="33" t="s">
        <v>30</v>
      </c>
      <c r="D126" s="33"/>
      <c r="E126" s="33"/>
      <c r="F126" s="33"/>
      <c r="G126" s="33"/>
      <c r="H126" s="33"/>
      <c r="I126" s="39"/>
      <c r="J126" s="39" t="str">
        <f t="shared" si="1"/>
        <v/>
      </c>
      <c r="K126" s="33" t="s">
        <v>56</v>
      </c>
      <c r="L126" s="33"/>
      <c r="M126" s="33"/>
    </row>
    <row r="127" spans="1:13" x14ac:dyDescent="0.25">
      <c r="A127" s="33" t="s">
        <v>348</v>
      </c>
      <c r="B127" s="33"/>
      <c r="C127" s="33" t="s">
        <v>30</v>
      </c>
      <c r="D127" s="33"/>
      <c r="E127" s="33"/>
      <c r="F127" s="33"/>
      <c r="G127" s="33"/>
      <c r="H127" s="33"/>
      <c r="I127" s="39"/>
      <c r="J127" s="39" t="str">
        <f t="shared" si="1"/>
        <v/>
      </c>
      <c r="K127" s="33" t="s">
        <v>56</v>
      </c>
      <c r="L127" s="33"/>
      <c r="M127" s="33"/>
    </row>
    <row r="128" spans="1:13" x14ac:dyDescent="0.25">
      <c r="A128" s="33" t="s">
        <v>349</v>
      </c>
      <c r="B128" s="33"/>
      <c r="C128" s="33" t="s">
        <v>30</v>
      </c>
      <c r="D128" s="33"/>
      <c r="E128" s="33"/>
      <c r="F128" s="33"/>
      <c r="G128" s="33"/>
      <c r="H128" s="33"/>
      <c r="I128" s="39"/>
      <c r="J128" s="39" t="str">
        <f t="shared" si="1"/>
        <v/>
      </c>
      <c r="K128" s="33" t="s">
        <v>56</v>
      </c>
      <c r="L128" s="33"/>
      <c r="M128" s="33"/>
    </row>
    <row r="129" spans="1:13" x14ac:dyDescent="0.25">
      <c r="A129" s="33" t="s">
        <v>350</v>
      </c>
      <c r="B129" s="33"/>
      <c r="C129" s="33" t="s">
        <v>30</v>
      </c>
      <c r="D129" s="33"/>
      <c r="E129" s="33"/>
      <c r="F129" s="33"/>
      <c r="G129" s="33"/>
      <c r="H129" s="33"/>
      <c r="I129" s="39"/>
      <c r="J129" s="39" t="str">
        <f t="shared" si="1"/>
        <v/>
      </c>
      <c r="K129" s="33" t="s">
        <v>56</v>
      </c>
      <c r="L129" s="33"/>
      <c r="M129" s="33"/>
    </row>
    <row r="130" spans="1:13" x14ac:dyDescent="0.25">
      <c r="A130" s="33" t="s">
        <v>351</v>
      </c>
      <c r="B130" s="33"/>
      <c r="C130" s="33" t="s">
        <v>30</v>
      </c>
      <c r="D130" s="33"/>
      <c r="E130" s="33"/>
      <c r="F130" s="33"/>
      <c r="G130" s="33"/>
      <c r="H130" s="33"/>
      <c r="I130" s="39"/>
      <c r="J130" s="39" t="str">
        <f t="shared" si="1"/>
        <v/>
      </c>
      <c r="K130" s="33" t="s">
        <v>56</v>
      </c>
      <c r="L130" s="33"/>
      <c r="M130" s="33"/>
    </row>
    <row r="131" spans="1:13" x14ac:dyDescent="0.25">
      <c r="A131" s="33" t="s">
        <v>352</v>
      </c>
      <c r="B131" s="33"/>
      <c r="C131" s="33" t="s">
        <v>30</v>
      </c>
      <c r="D131" s="33"/>
      <c r="E131" s="33"/>
      <c r="F131" s="33"/>
      <c r="G131" s="33"/>
      <c r="H131" s="33"/>
      <c r="I131" s="39"/>
      <c r="J131" s="39" t="str">
        <f t="shared" si="1"/>
        <v/>
      </c>
      <c r="K131" s="33" t="s">
        <v>56</v>
      </c>
      <c r="L131" s="33"/>
      <c r="M131" s="33"/>
    </row>
    <row r="132" spans="1:13" x14ac:dyDescent="0.25">
      <c r="A132" s="33" t="s">
        <v>353</v>
      </c>
      <c r="B132" s="33"/>
      <c r="C132" s="33" t="s">
        <v>30</v>
      </c>
      <c r="D132" s="33"/>
      <c r="E132" s="33"/>
      <c r="F132" s="33"/>
      <c r="G132" s="33"/>
      <c r="H132" s="33"/>
      <c r="I132" s="39"/>
      <c r="J132" s="39" t="str">
        <f t="shared" si="1"/>
        <v/>
      </c>
      <c r="K132" s="33" t="s">
        <v>56</v>
      </c>
      <c r="L132" s="33"/>
      <c r="M132" s="33"/>
    </row>
    <row r="133" spans="1:13" x14ac:dyDescent="0.25">
      <c r="A133" s="33" t="s">
        <v>354</v>
      </c>
      <c r="B133" s="33"/>
      <c r="C133" s="33" t="s">
        <v>30</v>
      </c>
      <c r="D133" s="33"/>
      <c r="E133" s="33"/>
      <c r="F133" s="33"/>
      <c r="G133" s="33"/>
      <c r="H133" s="33"/>
      <c r="I133" s="39"/>
      <c r="J133" s="39" t="str">
        <f t="shared" si="1"/>
        <v/>
      </c>
      <c r="K133" s="33" t="s">
        <v>56</v>
      </c>
      <c r="L133" s="33"/>
      <c r="M133" s="33"/>
    </row>
    <row r="134" spans="1:13" x14ac:dyDescent="0.25">
      <c r="A134" s="33" t="s">
        <v>355</v>
      </c>
      <c r="B134" s="33"/>
      <c r="C134" s="33" t="s">
        <v>30</v>
      </c>
      <c r="D134" s="33"/>
      <c r="E134" s="33"/>
      <c r="F134" s="33"/>
      <c r="G134" s="33"/>
      <c r="H134" s="33"/>
      <c r="I134" s="39"/>
      <c r="J134" s="39" t="str">
        <f t="shared" si="1"/>
        <v/>
      </c>
      <c r="K134" s="33" t="s">
        <v>56</v>
      </c>
      <c r="L134" s="33"/>
      <c r="M134" s="33"/>
    </row>
    <row r="135" spans="1:13" x14ac:dyDescent="0.25">
      <c r="A135" s="33" t="s">
        <v>356</v>
      </c>
      <c r="B135" s="33"/>
      <c r="C135" s="33" t="s">
        <v>30</v>
      </c>
      <c r="D135" s="33"/>
      <c r="E135" s="33"/>
      <c r="F135" s="33"/>
      <c r="G135" s="33"/>
      <c r="H135" s="33"/>
      <c r="I135" s="39"/>
      <c r="J135" s="39" t="str">
        <f t="shared" si="1"/>
        <v/>
      </c>
      <c r="K135" s="33" t="s">
        <v>56</v>
      </c>
      <c r="L135" s="33"/>
      <c r="M135" s="33"/>
    </row>
    <row r="136" spans="1:13" x14ac:dyDescent="0.25">
      <c r="A136" s="33" t="s">
        <v>357</v>
      </c>
      <c r="B136" s="33"/>
      <c r="C136" s="33" t="s">
        <v>30</v>
      </c>
      <c r="D136" s="33"/>
      <c r="E136" s="33"/>
      <c r="F136" s="33"/>
      <c r="G136" s="33"/>
      <c r="H136" s="33"/>
      <c r="I136" s="39"/>
      <c r="J136" s="39" t="str">
        <f t="shared" si="1"/>
        <v/>
      </c>
      <c r="K136" s="33" t="s">
        <v>56</v>
      </c>
      <c r="L136" s="33"/>
      <c r="M136" s="33"/>
    </row>
    <row r="137" spans="1:13" x14ac:dyDescent="0.25">
      <c r="A137" s="33" t="s">
        <v>358</v>
      </c>
      <c r="B137" s="33"/>
      <c r="C137" s="33" t="s">
        <v>30</v>
      </c>
      <c r="D137" s="33"/>
      <c r="E137" s="33"/>
      <c r="F137" s="33"/>
      <c r="G137" s="33"/>
      <c r="H137" s="33"/>
      <c r="I137" s="39"/>
      <c r="J137" s="39" t="str">
        <f t="shared" si="1"/>
        <v/>
      </c>
      <c r="K137" s="33" t="s">
        <v>56</v>
      </c>
      <c r="L137" s="33"/>
      <c r="M137" s="33"/>
    </row>
    <row r="138" spans="1:13" x14ac:dyDescent="0.25">
      <c r="A138" s="33" t="s">
        <v>359</v>
      </c>
      <c r="B138" s="33"/>
      <c r="C138" s="33" t="s">
        <v>30</v>
      </c>
      <c r="D138" s="33"/>
      <c r="E138" s="33"/>
      <c r="F138" s="33"/>
      <c r="G138" s="33"/>
      <c r="H138" s="33"/>
      <c r="I138" s="39"/>
      <c r="J138" s="39" t="str">
        <f t="shared" si="1"/>
        <v/>
      </c>
      <c r="K138" s="33" t="s">
        <v>56</v>
      </c>
      <c r="L138" s="33"/>
      <c r="M138" s="33"/>
    </row>
  </sheetData>
  <autoFilter ref="A1:M1" xr:uid="{00000000-0009-0000-0000-000003000000}"/>
  <dataValidations count="1">
    <dataValidation type="list" allowBlank="1" sqref="K2:K500" xr:uid="{00000000-0002-0000-0300-000001000000}">
      <formula1>"Có,Chưa"</formula1>
    </dataValidation>
  </dataValidation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300-000000000000}">
          <x14:formula1>
            <xm:f>'Đối tác'!$A$2:$A$200</xm:f>
          </x14:formula1>
          <xm:sqref>C2:C500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79"/>
  <sheetViews>
    <sheetView showGridLines="0" workbookViewId="0">
      <pane ySplit="1" topLeftCell="A2" activePane="bottomLeft" state="frozen"/>
      <selection pane="bottomLeft" activeCell="K8" sqref="K8"/>
    </sheetView>
  </sheetViews>
  <sheetFormatPr defaultRowHeight="15" x14ac:dyDescent="0.25"/>
  <cols>
    <col min="1" max="5" width="16" customWidth="1"/>
    <col min="6" max="6" width="64" customWidth="1"/>
  </cols>
  <sheetData>
    <row r="1" spans="1:6" ht="27.95" customHeight="1" x14ac:dyDescent="0.25">
      <c r="A1" s="37" t="s">
        <v>360</v>
      </c>
      <c r="B1" s="37" t="s">
        <v>361</v>
      </c>
      <c r="C1" s="37" t="s">
        <v>23</v>
      </c>
      <c r="D1" s="37" t="s">
        <v>362</v>
      </c>
      <c r="E1" s="37" t="s">
        <v>363</v>
      </c>
      <c r="F1" s="37" t="s">
        <v>29</v>
      </c>
    </row>
    <row r="2" spans="1:6" x14ac:dyDescent="0.25">
      <c r="A2" s="33" t="s">
        <v>364</v>
      </c>
      <c r="B2" s="33" t="s">
        <v>365</v>
      </c>
      <c r="C2" s="33" t="s">
        <v>30</v>
      </c>
      <c r="D2" s="39">
        <v>45000000</v>
      </c>
      <c r="E2" s="33" t="s">
        <v>366</v>
      </c>
      <c r="F2" s="47" t="s">
        <v>895</v>
      </c>
    </row>
    <row r="3" spans="1:6" x14ac:dyDescent="0.25">
      <c r="A3" s="33" t="s">
        <v>368</v>
      </c>
      <c r="B3" s="33"/>
      <c r="C3" s="33" t="s">
        <v>30</v>
      </c>
      <c r="D3" s="39"/>
      <c r="E3" s="33"/>
      <c r="F3" s="33"/>
    </row>
    <row r="4" spans="1:6" x14ac:dyDescent="0.25">
      <c r="A4" s="33" t="s">
        <v>369</v>
      </c>
      <c r="B4" s="33"/>
      <c r="C4" s="33" t="s">
        <v>30</v>
      </c>
      <c r="D4" s="39"/>
      <c r="E4" s="33"/>
      <c r="F4" s="33"/>
    </row>
    <row r="5" spans="1:6" x14ac:dyDescent="0.25">
      <c r="A5" s="33" t="s">
        <v>370</v>
      </c>
      <c r="B5" s="33"/>
      <c r="C5" s="33" t="s">
        <v>30</v>
      </c>
      <c r="D5" s="39"/>
      <c r="E5" s="33"/>
      <c r="F5" s="33"/>
    </row>
    <row r="6" spans="1:6" x14ac:dyDescent="0.25">
      <c r="A6" s="33" t="s">
        <v>371</v>
      </c>
      <c r="B6" s="33"/>
      <c r="C6" s="33" t="s">
        <v>30</v>
      </c>
      <c r="D6" s="39"/>
      <c r="E6" s="33"/>
      <c r="F6" s="33"/>
    </row>
    <row r="7" spans="1:6" x14ac:dyDescent="0.25">
      <c r="A7" s="33" t="s">
        <v>372</v>
      </c>
      <c r="B7" s="33"/>
      <c r="C7" s="33" t="s">
        <v>30</v>
      </c>
      <c r="D7" s="39"/>
      <c r="E7" s="33"/>
      <c r="F7" s="33"/>
    </row>
    <row r="8" spans="1:6" x14ac:dyDescent="0.25">
      <c r="A8" s="33" t="s">
        <v>373</v>
      </c>
      <c r="B8" s="33"/>
      <c r="C8" s="33" t="s">
        <v>30</v>
      </c>
      <c r="D8" s="39"/>
      <c r="E8" s="33"/>
      <c r="F8" s="33"/>
    </row>
    <row r="9" spans="1:6" x14ac:dyDescent="0.25">
      <c r="A9" s="33" t="s">
        <v>374</v>
      </c>
      <c r="B9" s="33"/>
      <c r="C9" s="33" t="s">
        <v>30</v>
      </c>
      <c r="D9" s="39"/>
      <c r="E9" s="33"/>
      <c r="F9" s="33"/>
    </row>
    <row r="10" spans="1:6" x14ac:dyDescent="0.25">
      <c r="A10" s="33" t="s">
        <v>375</v>
      </c>
      <c r="B10" s="33"/>
      <c r="C10" s="33" t="s">
        <v>30</v>
      </c>
      <c r="D10" s="39"/>
      <c r="E10" s="33"/>
      <c r="F10" s="33"/>
    </row>
    <row r="11" spans="1:6" x14ac:dyDescent="0.25">
      <c r="A11" s="33" t="s">
        <v>376</v>
      </c>
      <c r="B11" s="33"/>
      <c r="C11" s="33" t="s">
        <v>30</v>
      </c>
      <c r="D11" s="39"/>
      <c r="E11" s="33"/>
      <c r="F11" s="33"/>
    </row>
    <row r="12" spans="1:6" x14ac:dyDescent="0.25">
      <c r="A12" s="33" t="s">
        <v>377</v>
      </c>
      <c r="B12" s="33"/>
      <c r="C12" s="33" t="s">
        <v>30</v>
      </c>
      <c r="D12" s="39"/>
      <c r="E12" s="33"/>
      <c r="F12" s="33"/>
    </row>
    <row r="13" spans="1:6" x14ac:dyDescent="0.25">
      <c r="A13" s="33" t="s">
        <v>378</v>
      </c>
      <c r="B13" s="33"/>
      <c r="C13" s="33" t="s">
        <v>30</v>
      </c>
      <c r="D13" s="39"/>
      <c r="E13" s="33"/>
      <c r="F13" s="33"/>
    </row>
    <row r="14" spans="1:6" x14ac:dyDescent="0.25">
      <c r="A14" s="33" t="s">
        <v>379</v>
      </c>
      <c r="B14" s="33"/>
      <c r="C14" s="33" t="s">
        <v>30</v>
      </c>
      <c r="D14" s="39"/>
      <c r="E14" s="33"/>
      <c r="F14" s="33"/>
    </row>
    <row r="15" spans="1:6" x14ac:dyDescent="0.25">
      <c r="A15" s="33" t="s">
        <v>380</v>
      </c>
      <c r="B15" s="33"/>
      <c r="C15" s="33" t="s">
        <v>30</v>
      </c>
      <c r="D15" s="39"/>
      <c r="E15" s="33"/>
      <c r="F15" s="33"/>
    </row>
    <row r="16" spans="1:6" x14ac:dyDescent="0.25">
      <c r="A16" s="33" t="s">
        <v>381</v>
      </c>
      <c r="B16" s="33"/>
      <c r="C16" s="33" t="s">
        <v>30</v>
      </c>
      <c r="D16" s="39"/>
      <c r="E16" s="33"/>
      <c r="F16" s="33"/>
    </row>
    <row r="17" spans="1:6" x14ac:dyDescent="0.25">
      <c r="A17" s="33" t="s">
        <v>382</v>
      </c>
      <c r="B17" s="33"/>
      <c r="C17" s="33" t="s">
        <v>30</v>
      </c>
      <c r="D17" s="39"/>
      <c r="E17" s="33"/>
      <c r="F17" s="33"/>
    </row>
    <row r="18" spans="1:6" x14ac:dyDescent="0.25">
      <c r="A18" s="33" t="s">
        <v>383</v>
      </c>
      <c r="B18" s="33"/>
      <c r="C18" s="33" t="s">
        <v>30</v>
      </c>
      <c r="D18" s="39"/>
      <c r="E18" s="33"/>
      <c r="F18" s="33"/>
    </row>
    <row r="19" spans="1:6" x14ac:dyDescent="0.25">
      <c r="A19" s="33" t="s">
        <v>384</v>
      </c>
      <c r="B19" s="33"/>
      <c r="C19" s="33" t="s">
        <v>30</v>
      </c>
      <c r="D19" s="39"/>
      <c r="E19" s="33"/>
      <c r="F19" s="33"/>
    </row>
    <row r="20" spans="1:6" x14ac:dyDescent="0.25">
      <c r="A20" s="33" t="s">
        <v>385</v>
      </c>
      <c r="B20" s="33"/>
      <c r="C20" s="33" t="s">
        <v>30</v>
      </c>
      <c r="D20" s="39"/>
      <c r="E20" s="33"/>
      <c r="F20" s="33"/>
    </row>
    <row r="21" spans="1:6" x14ac:dyDescent="0.25">
      <c r="A21" s="33" t="s">
        <v>386</v>
      </c>
      <c r="B21" s="33"/>
      <c r="C21" s="33" t="s">
        <v>30</v>
      </c>
      <c r="D21" s="39"/>
      <c r="E21" s="33"/>
      <c r="F21" s="33"/>
    </row>
    <row r="22" spans="1:6" x14ac:dyDescent="0.25">
      <c r="A22" s="33" t="s">
        <v>387</v>
      </c>
      <c r="B22" s="33"/>
      <c r="C22" s="33" t="s">
        <v>30</v>
      </c>
      <c r="D22" s="39"/>
      <c r="E22" s="33"/>
      <c r="F22" s="33"/>
    </row>
    <row r="23" spans="1:6" x14ac:dyDescent="0.25">
      <c r="A23" s="33" t="s">
        <v>388</v>
      </c>
      <c r="B23" s="33"/>
      <c r="C23" s="33" t="s">
        <v>30</v>
      </c>
      <c r="D23" s="39"/>
      <c r="E23" s="33"/>
      <c r="F23" s="33"/>
    </row>
    <row r="24" spans="1:6" x14ac:dyDescent="0.25">
      <c r="A24" s="33" t="s">
        <v>389</v>
      </c>
      <c r="B24" s="33"/>
      <c r="C24" s="33" t="s">
        <v>30</v>
      </c>
      <c r="D24" s="39"/>
      <c r="E24" s="33"/>
      <c r="F24" s="33"/>
    </row>
    <row r="25" spans="1:6" x14ac:dyDescent="0.25">
      <c r="A25" s="33" t="s">
        <v>390</v>
      </c>
      <c r="B25" s="33"/>
      <c r="C25" s="33" t="s">
        <v>30</v>
      </c>
      <c r="D25" s="39"/>
      <c r="E25" s="33"/>
      <c r="F25" s="33"/>
    </row>
    <row r="26" spans="1:6" x14ac:dyDescent="0.25">
      <c r="A26" s="33" t="s">
        <v>391</v>
      </c>
      <c r="B26" s="33"/>
      <c r="C26" s="33" t="s">
        <v>30</v>
      </c>
      <c r="D26" s="39"/>
      <c r="E26" s="33"/>
      <c r="F26" s="33"/>
    </row>
    <row r="27" spans="1:6" x14ac:dyDescent="0.25">
      <c r="A27" s="33" t="s">
        <v>392</v>
      </c>
      <c r="B27" s="33"/>
      <c r="C27" s="33" t="s">
        <v>30</v>
      </c>
      <c r="D27" s="39"/>
      <c r="E27" s="33"/>
      <c r="F27" s="33"/>
    </row>
    <row r="28" spans="1:6" x14ac:dyDescent="0.25">
      <c r="A28" s="33" t="s">
        <v>393</v>
      </c>
      <c r="B28" s="33"/>
      <c r="C28" s="33" t="s">
        <v>30</v>
      </c>
      <c r="D28" s="39"/>
      <c r="E28" s="33"/>
      <c r="F28" s="33"/>
    </row>
    <row r="29" spans="1:6" x14ac:dyDescent="0.25">
      <c r="A29" s="33" t="s">
        <v>394</v>
      </c>
      <c r="B29" s="33"/>
      <c r="C29" s="33" t="s">
        <v>30</v>
      </c>
      <c r="D29" s="39"/>
      <c r="E29" s="33"/>
      <c r="F29" s="33"/>
    </row>
    <row r="30" spans="1:6" x14ac:dyDescent="0.25">
      <c r="A30" s="33" t="s">
        <v>395</v>
      </c>
      <c r="B30" s="33"/>
      <c r="C30" s="33" t="s">
        <v>30</v>
      </c>
      <c r="D30" s="39"/>
      <c r="E30" s="33"/>
      <c r="F30" s="33"/>
    </row>
    <row r="31" spans="1:6" x14ac:dyDescent="0.25">
      <c r="A31" s="33" t="s">
        <v>396</v>
      </c>
      <c r="B31" s="33"/>
      <c r="C31" s="33" t="s">
        <v>30</v>
      </c>
      <c r="D31" s="39"/>
      <c r="E31" s="33"/>
      <c r="F31" s="33"/>
    </row>
    <row r="32" spans="1:6" x14ac:dyDescent="0.25">
      <c r="A32" s="33" t="s">
        <v>397</v>
      </c>
      <c r="B32" s="33"/>
      <c r="C32" s="33" t="s">
        <v>30</v>
      </c>
      <c r="D32" s="39"/>
      <c r="E32" s="33"/>
      <c r="F32" s="33"/>
    </row>
    <row r="33" spans="1:6" x14ac:dyDescent="0.25">
      <c r="A33" s="33" t="s">
        <v>398</v>
      </c>
      <c r="B33" s="33"/>
      <c r="C33" s="33" t="s">
        <v>30</v>
      </c>
      <c r="D33" s="39"/>
      <c r="E33" s="33"/>
      <c r="F33" s="33"/>
    </row>
    <row r="34" spans="1:6" x14ac:dyDescent="0.25">
      <c r="A34" s="33" t="s">
        <v>399</v>
      </c>
      <c r="B34" s="33"/>
      <c r="C34" s="33" t="s">
        <v>30</v>
      </c>
      <c r="D34" s="39"/>
      <c r="E34" s="33"/>
      <c r="F34" s="33"/>
    </row>
    <row r="35" spans="1:6" x14ac:dyDescent="0.25">
      <c r="A35" s="33" t="s">
        <v>400</v>
      </c>
      <c r="B35" s="33"/>
      <c r="C35" s="33" t="s">
        <v>30</v>
      </c>
      <c r="D35" s="39"/>
      <c r="E35" s="33"/>
      <c r="F35" s="33"/>
    </row>
    <row r="36" spans="1:6" x14ac:dyDescent="0.25">
      <c r="A36" s="33" t="s">
        <v>401</v>
      </c>
      <c r="B36" s="33"/>
      <c r="C36" s="33" t="s">
        <v>30</v>
      </c>
      <c r="D36" s="39"/>
      <c r="E36" s="33"/>
      <c r="F36" s="33"/>
    </row>
    <row r="37" spans="1:6" x14ac:dyDescent="0.25">
      <c r="A37" s="33" t="s">
        <v>402</v>
      </c>
      <c r="B37" s="33"/>
      <c r="C37" s="33" t="s">
        <v>30</v>
      </c>
      <c r="D37" s="39"/>
      <c r="E37" s="33"/>
      <c r="F37" s="33"/>
    </row>
    <row r="38" spans="1:6" x14ac:dyDescent="0.25">
      <c r="A38" s="33" t="s">
        <v>403</v>
      </c>
      <c r="B38" s="33"/>
      <c r="C38" s="33" t="s">
        <v>30</v>
      </c>
      <c r="D38" s="39"/>
      <c r="E38" s="33"/>
      <c r="F38" s="33"/>
    </row>
    <row r="39" spans="1:6" x14ac:dyDescent="0.25">
      <c r="A39" s="33" t="s">
        <v>404</v>
      </c>
      <c r="B39" s="33"/>
      <c r="C39" s="33" t="s">
        <v>30</v>
      </c>
      <c r="D39" s="39"/>
      <c r="E39" s="33"/>
      <c r="F39" s="33"/>
    </row>
    <row r="40" spans="1:6" x14ac:dyDescent="0.25">
      <c r="A40" s="33" t="s">
        <v>405</v>
      </c>
      <c r="B40" s="33"/>
      <c r="C40" s="33" t="s">
        <v>30</v>
      </c>
      <c r="D40" s="39"/>
      <c r="E40" s="33"/>
      <c r="F40" s="33"/>
    </row>
    <row r="41" spans="1:6" x14ac:dyDescent="0.25">
      <c r="A41" s="33" t="s">
        <v>406</v>
      </c>
      <c r="B41" s="33"/>
      <c r="C41" s="33" t="s">
        <v>30</v>
      </c>
      <c r="D41" s="39"/>
      <c r="E41" s="33"/>
      <c r="F41" s="33"/>
    </row>
    <row r="42" spans="1:6" x14ac:dyDescent="0.25">
      <c r="A42" s="33" t="s">
        <v>407</v>
      </c>
      <c r="B42" s="33"/>
      <c r="C42" s="33" t="s">
        <v>30</v>
      </c>
      <c r="D42" s="39"/>
      <c r="E42" s="33"/>
      <c r="F42" s="33"/>
    </row>
    <row r="43" spans="1:6" x14ac:dyDescent="0.25">
      <c r="A43" s="33" t="s">
        <v>408</v>
      </c>
      <c r="B43" s="33"/>
      <c r="C43" s="33" t="s">
        <v>30</v>
      </c>
      <c r="D43" s="39"/>
      <c r="E43" s="33"/>
      <c r="F43" s="33"/>
    </row>
    <row r="44" spans="1:6" x14ac:dyDescent="0.25">
      <c r="A44" s="33" t="s">
        <v>409</v>
      </c>
      <c r="B44" s="33"/>
      <c r="C44" s="33" t="s">
        <v>30</v>
      </c>
      <c r="D44" s="39"/>
      <c r="E44" s="33"/>
      <c r="F44" s="33"/>
    </row>
    <row r="45" spans="1:6" x14ac:dyDescent="0.25">
      <c r="A45" s="33" t="s">
        <v>410</v>
      </c>
      <c r="B45" s="33"/>
      <c r="C45" s="33" t="s">
        <v>30</v>
      </c>
      <c r="D45" s="39"/>
      <c r="E45" s="33"/>
      <c r="F45" s="33"/>
    </row>
    <row r="46" spans="1:6" x14ac:dyDescent="0.25">
      <c r="A46" s="33" t="s">
        <v>411</v>
      </c>
      <c r="B46" s="33"/>
      <c r="C46" s="33" t="s">
        <v>30</v>
      </c>
      <c r="D46" s="39"/>
      <c r="E46" s="33"/>
      <c r="F46" s="33"/>
    </row>
    <row r="47" spans="1:6" x14ac:dyDescent="0.25">
      <c r="A47" s="33" t="s">
        <v>412</v>
      </c>
      <c r="B47" s="33"/>
      <c r="C47" s="33" t="s">
        <v>30</v>
      </c>
      <c r="D47" s="39"/>
      <c r="E47" s="33"/>
      <c r="F47" s="33"/>
    </row>
    <row r="48" spans="1:6" x14ac:dyDescent="0.25">
      <c r="A48" s="33" t="s">
        <v>413</v>
      </c>
      <c r="B48" s="33"/>
      <c r="C48" s="33" t="s">
        <v>30</v>
      </c>
      <c r="D48" s="39"/>
      <c r="E48" s="33"/>
      <c r="F48" s="33"/>
    </row>
    <row r="49" spans="1:6" x14ac:dyDescent="0.25">
      <c r="A49" s="33" t="s">
        <v>414</v>
      </c>
      <c r="B49" s="33"/>
      <c r="C49" s="33" t="s">
        <v>30</v>
      </c>
      <c r="D49" s="39"/>
      <c r="E49" s="33"/>
      <c r="F49" s="33"/>
    </row>
    <row r="50" spans="1:6" x14ac:dyDescent="0.25">
      <c r="A50" s="33" t="s">
        <v>415</v>
      </c>
      <c r="B50" s="33"/>
      <c r="C50" s="33" t="s">
        <v>30</v>
      </c>
      <c r="D50" s="39"/>
      <c r="E50" s="33"/>
      <c r="F50" s="33"/>
    </row>
    <row r="51" spans="1:6" x14ac:dyDescent="0.25">
      <c r="A51" s="33" t="s">
        <v>416</v>
      </c>
      <c r="B51" s="33"/>
      <c r="C51" s="33" t="s">
        <v>30</v>
      </c>
      <c r="D51" s="39"/>
      <c r="E51" s="33"/>
      <c r="F51" s="33"/>
    </row>
    <row r="52" spans="1:6" x14ac:dyDescent="0.25">
      <c r="A52" s="33" t="s">
        <v>417</v>
      </c>
      <c r="B52" s="33"/>
      <c r="C52" s="33" t="s">
        <v>30</v>
      </c>
      <c r="D52" s="39"/>
      <c r="E52" s="33"/>
      <c r="F52" s="33"/>
    </row>
    <row r="53" spans="1:6" x14ac:dyDescent="0.25">
      <c r="A53" s="33" t="s">
        <v>418</v>
      </c>
      <c r="B53" s="33"/>
      <c r="C53" s="33" t="s">
        <v>30</v>
      </c>
      <c r="D53" s="39"/>
      <c r="E53" s="33"/>
      <c r="F53" s="33"/>
    </row>
    <row r="54" spans="1:6" x14ac:dyDescent="0.25">
      <c r="A54" s="33" t="s">
        <v>419</v>
      </c>
      <c r="B54" s="33"/>
      <c r="C54" s="33" t="s">
        <v>30</v>
      </c>
      <c r="D54" s="39"/>
      <c r="E54" s="33"/>
      <c r="F54" s="33"/>
    </row>
    <row r="55" spans="1:6" x14ac:dyDescent="0.25">
      <c r="A55" s="33" t="s">
        <v>420</v>
      </c>
      <c r="B55" s="33"/>
      <c r="C55" s="33" t="s">
        <v>30</v>
      </c>
      <c r="D55" s="39"/>
      <c r="E55" s="33"/>
      <c r="F55" s="33"/>
    </row>
    <row r="56" spans="1:6" x14ac:dyDescent="0.25">
      <c r="A56" s="33" t="s">
        <v>421</v>
      </c>
      <c r="B56" s="33"/>
      <c r="C56" s="33" t="s">
        <v>30</v>
      </c>
      <c r="D56" s="39"/>
      <c r="E56" s="33"/>
      <c r="F56" s="33"/>
    </row>
    <row r="57" spans="1:6" x14ac:dyDescent="0.25">
      <c r="A57" s="33" t="s">
        <v>422</v>
      </c>
      <c r="B57" s="33"/>
      <c r="C57" s="33" t="s">
        <v>30</v>
      </c>
      <c r="D57" s="39"/>
      <c r="E57" s="33"/>
      <c r="F57" s="33"/>
    </row>
    <row r="58" spans="1:6" x14ac:dyDescent="0.25">
      <c r="A58" s="33" t="s">
        <v>423</v>
      </c>
      <c r="B58" s="33"/>
      <c r="C58" s="33" t="s">
        <v>30</v>
      </c>
      <c r="D58" s="39"/>
      <c r="E58" s="33"/>
      <c r="F58" s="33"/>
    </row>
    <row r="59" spans="1:6" x14ac:dyDescent="0.25">
      <c r="A59" s="33" t="s">
        <v>424</v>
      </c>
      <c r="B59" s="33"/>
      <c r="C59" s="33" t="s">
        <v>30</v>
      </c>
      <c r="D59" s="39"/>
      <c r="E59" s="33"/>
      <c r="F59" s="33"/>
    </row>
    <row r="60" spans="1:6" x14ac:dyDescent="0.25">
      <c r="A60" s="33" t="s">
        <v>425</v>
      </c>
      <c r="B60" s="33"/>
      <c r="C60" s="33" t="s">
        <v>30</v>
      </c>
      <c r="D60" s="39"/>
      <c r="E60" s="33"/>
      <c r="F60" s="33"/>
    </row>
    <row r="61" spans="1:6" x14ac:dyDescent="0.25">
      <c r="A61" s="33" t="s">
        <v>426</v>
      </c>
      <c r="B61" s="33"/>
      <c r="C61" s="33" t="s">
        <v>30</v>
      </c>
      <c r="D61" s="39"/>
      <c r="E61" s="33"/>
      <c r="F61" s="33"/>
    </row>
    <row r="62" spans="1:6" x14ac:dyDescent="0.25">
      <c r="A62" s="33" t="s">
        <v>427</v>
      </c>
      <c r="B62" s="33"/>
      <c r="C62" s="33" t="s">
        <v>30</v>
      </c>
      <c r="D62" s="39"/>
      <c r="E62" s="33"/>
      <c r="F62" s="33"/>
    </row>
    <row r="63" spans="1:6" x14ac:dyDescent="0.25">
      <c r="A63" s="33" t="s">
        <v>428</v>
      </c>
      <c r="B63" s="33"/>
      <c r="C63" s="33" t="s">
        <v>30</v>
      </c>
      <c r="D63" s="39"/>
      <c r="E63" s="33"/>
      <c r="F63" s="33"/>
    </row>
    <row r="64" spans="1:6" x14ac:dyDescent="0.25">
      <c r="A64" s="33" t="s">
        <v>429</v>
      </c>
      <c r="B64" s="33"/>
      <c r="C64" s="33" t="s">
        <v>30</v>
      </c>
      <c r="D64" s="39"/>
      <c r="E64" s="33"/>
      <c r="F64" s="33"/>
    </row>
    <row r="65" spans="1:6" x14ac:dyDescent="0.25">
      <c r="A65" s="33" t="s">
        <v>430</v>
      </c>
      <c r="B65" s="33"/>
      <c r="C65" s="33" t="s">
        <v>30</v>
      </c>
      <c r="D65" s="39"/>
      <c r="E65" s="33"/>
      <c r="F65" s="33"/>
    </row>
    <row r="66" spans="1:6" x14ac:dyDescent="0.25">
      <c r="A66" s="33" t="s">
        <v>431</v>
      </c>
      <c r="B66" s="33"/>
      <c r="C66" s="33" t="s">
        <v>30</v>
      </c>
      <c r="D66" s="39"/>
      <c r="E66" s="33"/>
      <c r="F66" s="33"/>
    </row>
    <row r="67" spans="1:6" x14ac:dyDescent="0.25">
      <c r="A67" s="33" t="s">
        <v>432</v>
      </c>
      <c r="B67" s="33"/>
      <c r="C67" s="33" t="s">
        <v>30</v>
      </c>
      <c r="D67" s="39"/>
      <c r="E67" s="33"/>
      <c r="F67" s="33"/>
    </row>
    <row r="68" spans="1:6" x14ac:dyDescent="0.25">
      <c r="A68" s="33" t="s">
        <v>433</v>
      </c>
      <c r="B68" s="33"/>
      <c r="C68" s="33" t="s">
        <v>30</v>
      </c>
      <c r="D68" s="39"/>
      <c r="E68" s="33"/>
      <c r="F68" s="33"/>
    </row>
    <row r="69" spans="1:6" x14ac:dyDescent="0.25">
      <c r="A69" s="33" t="s">
        <v>434</v>
      </c>
      <c r="B69" s="33"/>
      <c r="C69" s="33" t="s">
        <v>30</v>
      </c>
      <c r="D69" s="39"/>
      <c r="E69" s="33"/>
      <c r="F69" s="33"/>
    </row>
    <row r="70" spans="1:6" x14ac:dyDescent="0.25">
      <c r="A70" s="33" t="s">
        <v>435</v>
      </c>
      <c r="B70" s="33"/>
      <c r="C70" s="33" t="s">
        <v>30</v>
      </c>
      <c r="D70" s="39"/>
      <c r="E70" s="33"/>
      <c r="F70" s="33"/>
    </row>
    <row r="71" spans="1:6" x14ac:dyDescent="0.25">
      <c r="A71" s="33" t="s">
        <v>436</v>
      </c>
      <c r="B71" s="33"/>
      <c r="C71" s="33" t="s">
        <v>30</v>
      </c>
      <c r="D71" s="39"/>
      <c r="E71" s="33"/>
      <c r="F71" s="33"/>
    </row>
    <row r="72" spans="1:6" x14ac:dyDescent="0.25">
      <c r="A72" s="33" t="s">
        <v>437</v>
      </c>
      <c r="B72" s="33"/>
      <c r="C72" s="33" t="s">
        <v>30</v>
      </c>
      <c r="D72" s="39"/>
      <c r="E72" s="33"/>
      <c r="F72" s="33"/>
    </row>
    <row r="73" spans="1:6" x14ac:dyDescent="0.25">
      <c r="A73" s="33" t="s">
        <v>438</v>
      </c>
      <c r="B73" s="33"/>
      <c r="C73" s="33" t="s">
        <v>30</v>
      </c>
      <c r="D73" s="39"/>
      <c r="E73" s="33"/>
      <c r="F73" s="33"/>
    </row>
    <row r="74" spans="1:6" x14ac:dyDescent="0.25">
      <c r="A74" s="33" t="s">
        <v>439</v>
      </c>
      <c r="B74" s="33"/>
      <c r="C74" s="33" t="s">
        <v>30</v>
      </c>
      <c r="D74" s="39"/>
      <c r="E74" s="33"/>
      <c r="F74" s="33"/>
    </row>
    <row r="75" spans="1:6" x14ac:dyDescent="0.25">
      <c r="A75" s="33" t="s">
        <v>440</v>
      </c>
      <c r="B75" s="33"/>
      <c r="C75" s="33" t="s">
        <v>30</v>
      </c>
      <c r="D75" s="39"/>
      <c r="E75" s="33"/>
      <c r="F75" s="33"/>
    </row>
    <row r="76" spans="1:6" x14ac:dyDescent="0.25">
      <c r="A76" s="33" t="s">
        <v>441</v>
      </c>
      <c r="B76" s="33"/>
      <c r="C76" s="33" t="s">
        <v>30</v>
      </c>
      <c r="D76" s="39"/>
      <c r="E76" s="33"/>
      <c r="F76" s="33"/>
    </row>
    <row r="77" spans="1:6" x14ac:dyDescent="0.25">
      <c r="A77" s="33" t="s">
        <v>442</v>
      </c>
      <c r="B77" s="33"/>
      <c r="C77" s="33" t="s">
        <v>30</v>
      </c>
      <c r="D77" s="39"/>
      <c r="E77" s="33"/>
      <c r="F77" s="33"/>
    </row>
    <row r="78" spans="1:6" x14ac:dyDescent="0.25">
      <c r="A78" s="33" t="s">
        <v>443</v>
      </c>
      <c r="B78" s="33"/>
      <c r="C78" s="33" t="s">
        <v>30</v>
      </c>
      <c r="D78" s="39"/>
      <c r="E78" s="33"/>
      <c r="F78" s="33"/>
    </row>
    <row r="79" spans="1:6" x14ac:dyDescent="0.25">
      <c r="A79" s="33" t="s">
        <v>444</v>
      </c>
      <c r="B79" s="33"/>
      <c r="C79" s="33" t="s">
        <v>30</v>
      </c>
      <c r="D79" s="39"/>
      <c r="E79" s="33"/>
      <c r="F79" s="33"/>
    </row>
  </sheetData>
  <autoFilter ref="A1:F1" xr:uid="{00000000-0009-0000-0000-000004000000}"/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400-000000000000}">
          <x14:formula1>
            <xm:f>'Đối tác'!$A$2:$A$200</xm:f>
          </x14:formula1>
          <xm:sqref>C2:C500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79"/>
  <sheetViews>
    <sheetView showGridLines="0" workbookViewId="0">
      <pane ySplit="1" topLeftCell="A2" activePane="bottomLeft" state="frozen"/>
      <selection pane="bottomLeft" activeCell="F24" sqref="F24"/>
    </sheetView>
  </sheetViews>
  <sheetFormatPr defaultRowHeight="15" x14ac:dyDescent="0.25"/>
  <cols>
    <col min="1" max="3" width="16" customWidth="1"/>
    <col min="4" max="4" width="34" customWidth="1"/>
    <col min="5" max="8" width="16" customWidth="1"/>
    <col min="9" max="9" width="38" customWidth="1"/>
    <col min="10" max="10" width="18" customWidth="1"/>
  </cols>
  <sheetData>
    <row r="1" spans="1:10" ht="27.95" customHeight="1" x14ac:dyDescent="0.25">
      <c r="A1" s="37" t="s">
        <v>445</v>
      </c>
      <c r="B1" s="37" t="s">
        <v>361</v>
      </c>
      <c r="C1" s="37" t="s">
        <v>23</v>
      </c>
      <c r="D1" s="37" t="s">
        <v>45</v>
      </c>
      <c r="E1" s="37" t="s">
        <v>46</v>
      </c>
      <c r="F1" s="37" t="s">
        <v>47</v>
      </c>
      <c r="G1" s="37" t="s">
        <v>49</v>
      </c>
      <c r="H1" s="37" t="s">
        <v>50</v>
      </c>
      <c r="I1" s="37" t="s">
        <v>446</v>
      </c>
      <c r="J1" s="37" t="s">
        <v>52</v>
      </c>
    </row>
    <row r="2" spans="1:10" x14ac:dyDescent="0.25">
      <c r="A2" s="33" t="s">
        <v>447</v>
      </c>
      <c r="B2" s="33"/>
      <c r="C2" s="33" t="s">
        <v>30</v>
      </c>
      <c r="D2" s="33" t="s">
        <v>185</v>
      </c>
      <c r="E2" s="33"/>
      <c r="F2" s="33">
        <v>50</v>
      </c>
      <c r="G2" s="39"/>
      <c r="H2" s="39">
        <v>1150000</v>
      </c>
      <c r="I2" s="33" t="s">
        <v>448</v>
      </c>
      <c r="J2" s="33" t="s">
        <v>449</v>
      </c>
    </row>
    <row r="3" spans="1:10" x14ac:dyDescent="0.25">
      <c r="A3" s="33" t="s">
        <v>450</v>
      </c>
      <c r="B3" s="33"/>
      <c r="C3" s="33" t="s">
        <v>30</v>
      </c>
      <c r="D3" s="33" t="s">
        <v>451</v>
      </c>
      <c r="E3" s="33"/>
      <c r="F3" s="33">
        <v>1</v>
      </c>
      <c r="G3" s="39"/>
      <c r="H3" s="39">
        <v>350000</v>
      </c>
      <c r="I3" s="33" t="s">
        <v>448</v>
      </c>
      <c r="J3" s="33" t="s">
        <v>452</v>
      </c>
    </row>
    <row r="4" spans="1:10" x14ac:dyDescent="0.25">
      <c r="A4" s="33" t="s">
        <v>453</v>
      </c>
      <c r="B4" s="33"/>
      <c r="C4" s="33" t="s">
        <v>30</v>
      </c>
      <c r="D4" s="33" t="s">
        <v>454</v>
      </c>
      <c r="E4" s="33"/>
      <c r="F4" s="33">
        <v>5</v>
      </c>
      <c r="G4" s="39"/>
      <c r="H4" s="39"/>
      <c r="I4" s="33" t="s">
        <v>448</v>
      </c>
      <c r="J4" s="33" t="s">
        <v>455</v>
      </c>
    </row>
    <row r="5" spans="1:10" x14ac:dyDescent="0.25">
      <c r="A5" s="33" t="s">
        <v>456</v>
      </c>
      <c r="B5" s="33"/>
      <c r="C5" s="33" t="s">
        <v>30</v>
      </c>
      <c r="D5" s="33" t="s">
        <v>457</v>
      </c>
      <c r="E5" s="33"/>
      <c r="F5" s="33">
        <v>6</v>
      </c>
      <c r="G5" s="39"/>
      <c r="H5" s="39"/>
      <c r="I5" s="33" t="s">
        <v>448</v>
      </c>
      <c r="J5" s="33" t="s">
        <v>458</v>
      </c>
    </row>
    <row r="6" spans="1:10" x14ac:dyDescent="0.25">
      <c r="A6" s="33" t="s">
        <v>459</v>
      </c>
      <c r="B6" s="33"/>
      <c r="C6" s="33" t="s">
        <v>30</v>
      </c>
      <c r="D6" s="33"/>
      <c r="E6" s="33"/>
      <c r="F6" s="33"/>
      <c r="G6" s="39"/>
      <c r="H6" s="39" t="str">
        <f t="shared" ref="H6:H37" si="0">IF(OR(F6="",G6=""),"",F6*G6)</f>
        <v/>
      </c>
      <c r="I6" s="33"/>
      <c r="J6" s="33"/>
    </row>
    <row r="7" spans="1:10" x14ac:dyDescent="0.25">
      <c r="A7" s="33" t="s">
        <v>460</v>
      </c>
      <c r="B7" s="33"/>
      <c r="C7" s="33" t="s">
        <v>30</v>
      </c>
      <c r="D7" s="33"/>
      <c r="E7" s="33"/>
      <c r="F7" s="33"/>
      <c r="G7" s="39"/>
      <c r="H7" s="39" t="str">
        <f t="shared" si="0"/>
        <v/>
      </c>
      <c r="I7" s="33"/>
      <c r="J7" s="33"/>
    </row>
    <row r="8" spans="1:10" x14ac:dyDescent="0.25">
      <c r="A8" s="33" t="s">
        <v>461</v>
      </c>
      <c r="B8" s="33"/>
      <c r="C8" s="33" t="s">
        <v>30</v>
      </c>
      <c r="D8" s="33"/>
      <c r="E8" s="33"/>
      <c r="F8" s="33"/>
      <c r="G8" s="39"/>
      <c r="H8" s="39" t="str">
        <f t="shared" si="0"/>
        <v/>
      </c>
      <c r="I8" s="33"/>
      <c r="J8" s="33"/>
    </row>
    <row r="9" spans="1:10" x14ac:dyDescent="0.25">
      <c r="A9" s="33" t="s">
        <v>462</v>
      </c>
      <c r="B9" s="33"/>
      <c r="C9" s="33" t="s">
        <v>30</v>
      </c>
      <c r="D9" s="33"/>
      <c r="E9" s="33"/>
      <c r="F9" s="33"/>
      <c r="G9" s="39"/>
      <c r="H9" s="39" t="str">
        <f t="shared" si="0"/>
        <v/>
      </c>
      <c r="I9" s="33"/>
      <c r="J9" s="33"/>
    </row>
    <row r="10" spans="1:10" x14ac:dyDescent="0.25">
      <c r="A10" s="33" t="s">
        <v>463</v>
      </c>
      <c r="B10" s="33"/>
      <c r="C10" s="33" t="s">
        <v>30</v>
      </c>
      <c r="D10" s="33"/>
      <c r="E10" s="33"/>
      <c r="F10" s="33"/>
      <c r="G10" s="39"/>
      <c r="H10" s="39" t="str">
        <f t="shared" si="0"/>
        <v/>
      </c>
      <c r="I10" s="33"/>
      <c r="J10" s="33"/>
    </row>
    <row r="11" spans="1:10" x14ac:dyDescent="0.25">
      <c r="A11" s="33" t="s">
        <v>464</v>
      </c>
      <c r="B11" s="33"/>
      <c r="C11" s="33" t="s">
        <v>30</v>
      </c>
      <c r="D11" s="33"/>
      <c r="E11" s="33"/>
      <c r="F11" s="33"/>
      <c r="G11" s="39"/>
      <c r="H11" s="39" t="str">
        <f t="shared" si="0"/>
        <v/>
      </c>
      <c r="I11" s="33"/>
      <c r="J11" s="33"/>
    </row>
    <row r="12" spans="1:10" x14ac:dyDescent="0.25">
      <c r="A12" s="33" t="s">
        <v>465</v>
      </c>
      <c r="B12" s="33"/>
      <c r="C12" s="33" t="s">
        <v>30</v>
      </c>
      <c r="D12" s="33"/>
      <c r="E12" s="33"/>
      <c r="F12" s="33"/>
      <c r="G12" s="39"/>
      <c r="H12" s="39" t="str">
        <f t="shared" si="0"/>
        <v/>
      </c>
      <c r="I12" s="33"/>
      <c r="J12" s="33"/>
    </row>
    <row r="13" spans="1:10" x14ac:dyDescent="0.25">
      <c r="A13" s="33" t="s">
        <v>466</v>
      </c>
      <c r="B13" s="33"/>
      <c r="C13" s="33" t="s">
        <v>30</v>
      </c>
      <c r="D13" s="33"/>
      <c r="E13" s="33"/>
      <c r="F13" s="33"/>
      <c r="G13" s="39"/>
      <c r="H13" s="39" t="str">
        <f t="shared" si="0"/>
        <v/>
      </c>
      <c r="I13" s="33"/>
      <c r="J13" s="33"/>
    </row>
    <row r="14" spans="1:10" x14ac:dyDescent="0.25">
      <c r="A14" s="33" t="s">
        <v>467</v>
      </c>
      <c r="B14" s="33"/>
      <c r="C14" s="33" t="s">
        <v>30</v>
      </c>
      <c r="D14" s="33"/>
      <c r="E14" s="33"/>
      <c r="F14" s="33"/>
      <c r="G14" s="39"/>
      <c r="H14" s="39" t="str">
        <f t="shared" si="0"/>
        <v/>
      </c>
      <c r="I14" s="33"/>
      <c r="J14" s="33"/>
    </row>
    <row r="15" spans="1:10" x14ac:dyDescent="0.25">
      <c r="A15" s="33" t="s">
        <v>468</v>
      </c>
      <c r="B15" s="33"/>
      <c r="C15" s="33" t="s">
        <v>30</v>
      </c>
      <c r="D15" s="33"/>
      <c r="E15" s="33"/>
      <c r="F15" s="33"/>
      <c r="G15" s="39"/>
      <c r="H15" s="39" t="str">
        <f t="shared" si="0"/>
        <v/>
      </c>
      <c r="I15" s="33"/>
      <c r="J15" s="33"/>
    </row>
    <row r="16" spans="1:10" x14ac:dyDescent="0.25">
      <c r="A16" s="33" t="s">
        <v>469</v>
      </c>
      <c r="B16" s="33"/>
      <c r="C16" s="33" t="s">
        <v>30</v>
      </c>
      <c r="D16" s="33"/>
      <c r="E16" s="33"/>
      <c r="F16" s="33"/>
      <c r="G16" s="39"/>
      <c r="H16" s="39" t="str">
        <f t="shared" si="0"/>
        <v/>
      </c>
      <c r="I16" s="33"/>
      <c r="J16" s="33"/>
    </row>
    <row r="17" spans="1:10" x14ac:dyDescent="0.25">
      <c r="A17" s="33" t="s">
        <v>470</v>
      </c>
      <c r="B17" s="33"/>
      <c r="C17" s="33" t="s">
        <v>30</v>
      </c>
      <c r="D17" s="33"/>
      <c r="E17" s="33"/>
      <c r="F17" s="33"/>
      <c r="G17" s="39"/>
      <c r="H17" s="39" t="str">
        <f t="shared" si="0"/>
        <v/>
      </c>
      <c r="I17" s="33"/>
      <c r="J17" s="33"/>
    </row>
    <row r="18" spans="1:10" x14ac:dyDescent="0.25">
      <c r="A18" s="33" t="s">
        <v>471</v>
      </c>
      <c r="B18" s="33"/>
      <c r="C18" s="33" t="s">
        <v>30</v>
      </c>
      <c r="D18" s="33"/>
      <c r="E18" s="33"/>
      <c r="F18" s="33"/>
      <c r="G18" s="39"/>
      <c r="H18" s="39" t="str">
        <f t="shared" si="0"/>
        <v/>
      </c>
      <c r="I18" s="33"/>
      <c r="J18" s="33"/>
    </row>
    <row r="19" spans="1:10" x14ac:dyDescent="0.25">
      <c r="A19" s="33" t="s">
        <v>472</v>
      </c>
      <c r="B19" s="33"/>
      <c r="C19" s="33" t="s">
        <v>30</v>
      </c>
      <c r="D19" s="33"/>
      <c r="E19" s="33"/>
      <c r="F19" s="33"/>
      <c r="G19" s="39"/>
      <c r="H19" s="39" t="str">
        <f t="shared" si="0"/>
        <v/>
      </c>
      <c r="I19" s="33"/>
      <c r="J19" s="33"/>
    </row>
    <row r="20" spans="1:10" x14ac:dyDescent="0.25">
      <c r="A20" s="33" t="s">
        <v>473</v>
      </c>
      <c r="B20" s="33"/>
      <c r="C20" s="33" t="s">
        <v>30</v>
      </c>
      <c r="D20" s="33"/>
      <c r="E20" s="33"/>
      <c r="F20" s="33"/>
      <c r="G20" s="39"/>
      <c r="H20" s="39" t="str">
        <f t="shared" si="0"/>
        <v/>
      </c>
      <c r="I20" s="33"/>
      <c r="J20" s="33"/>
    </row>
    <row r="21" spans="1:10" x14ac:dyDescent="0.25">
      <c r="A21" s="33" t="s">
        <v>474</v>
      </c>
      <c r="B21" s="33"/>
      <c r="C21" s="33" t="s">
        <v>30</v>
      </c>
      <c r="D21" s="33"/>
      <c r="E21" s="33"/>
      <c r="F21" s="33"/>
      <c r="G21" s="39"/>
      <c r="H21" s="39" t="str">
        <f t="shared" si="0"/>
        <v/>
      </c>
      <c r="I21" s="33"/>
      <c r="J21" s="33"/>
    </row>
    <row r="22" spans="1:10" x14ac:dyDescent="0.25">
      <c r="A22" s="33" t="s">
        <v>475</v>
      </c>
      <c r="B22" s="33"/>
      <c r="C22" s="33" t="s">
        <v>30</v>
      </c>
      <c r="D22" s="33"/>
      <c r="E22" s="33"/>
      <c r="F22" s="33"/>
      <c r="G22" s="39"/>
      <c r="H22" s="39" t="str">
        <f t="shared" si="0"/>
        <v/>
      </c>
      <c r="I22" s="33"/>
      <c r="J22" s="33"/>
    </row>
    <row r="23" spans="1:10" x14ac:dyDescent="0.25">
      <c r="A23" s="33" t="s">
        <v>476</v>
      </c>
      <c r="B23" s="33"/>
      <c r="C23" s="33" t="s">
        <v>30</v>
      </c>
      <c r="D23" s="33"/>
      <c r="E23" s="33"/>
      <c r="F23" s="33"/>
      <c r="G23" s="39"/>
      <c r="H23" s="39" t="str">
        <f t="shared" si="0"/>
        <v/>
      </c>
      <c r="I23" s="33"/>
      <c r="J23" s="33"/>
    </row>
    <row r="24" spans="1:10" x14ac:dyDescent="0.25">
      <c r="A24" s="33" t="s">
        <v>477</v>
      </c>
      <c r="B24" s="33"/>
      <c r="C24" s="33" t="s">
        <v>30</v>
      </c>
      <c r="D24" s="33"/>
      <c r="E24" s="33"/>
      <c r="F24" s="33"/>
      <c r="G24" s="39"/>
      <c r="H24" s="39" t="str">
        <f t="shared" si="0"/>
        <v/>
      </c>
      <c r="I24" s="33"/>
      <c r="J24" s="33"/>
    </row>
    <row r="25" spans="1:10" x14ac:dyDescent="0.25">
      <c r="A25" s="33" t="s">
        <v>478</v>
      </c>
      <c r="B25" s="33"/>
      <c r="C25" s="33" t="s">
        <v>30</v>
      </c>
      <c r="D25" s="33"/>
      <c r="E25" s="33"/>
      <c r="F25" s="33"/>
      <c r="G25" s="39"/>
      <c r="H25" s="39" t="str">
        <f t="shared" si="0"/>
        <v/>
      </c>
      <c r="I25" s="33"/>
      <c r="J25" s="33"/>
    </row>
    <row r="26" spans="1:10" x14ac:dyDescent="0.25">
      <c r="A26" s="33" t="s">
        <v>479</v>
      </c>
      <c r="B26" s="33"/>
      <c r="C26" s="33" t="s">
        <v>30</v>
      </c>
      <c r="D26" s="33"/>
      <c r="E26" s="33"/>
      <c r="F26" s="33"/>
      <c r="G26" s="39"/>
      <c r="H26" s="39" t="str">
        <f t="shared" si="0"/>
        <v/>
      </c>
      <c r="I26" s="33"/>
      <c r="J26" s="33"/>
    </row>
    <row r="27" spans="1:10" x14ac:dyDescent="0.25">
      <c r="A27" s="33" t="s">
        <v>480</v>
      </c>
      <c r="B27" s="33"/>
      <c r="C27" s="33" t="s">
        <v>30</v>
      </c>
      <c r="D27" s="33"/>
      <c r="E27" s="33"/>
      <c r="F27" s="33"/>
      <c r="G27" s="39"/>
      <c r="H27" s="39" t="str">
        <f t="shared" si="0"/>
        <v/>
      </c>
      <c r="I27" s="33"/>
      <c r="J27" s="33"/>
    </row>
    <row r="28" spans="1:10" x14ac:dyDescent="0.25">
      <c r="A28" s="33" t="s">
        <v>481</v>
      </c>
      <c r="B28" s="33"/>
      <c r="C28" s="33" t="s">
        <v>30</v>
      </c>
      <c r="D28" s="33"/>
      <c r="E28" s="33"/>
      <c r="F28" s="33"/>
      <c r="G28" s="39"/>
      <c r="H28" s="39" t="str">
        <f t="shared" si="0"/>
        <v/>
      </c>
      <c r="I28" s="33"/>
      <c r="J28" s="33"/>
    </row>
    <row r="29" spans="1:10" x14ac:dyDescent="0.25">
      <c r="A29" s="33" t="s">
        <v>482</v>
      </c>
      <c r="B29" s="33"/>
      <c r="C29" s="33" t="s">
        <v>30</v>
      </c>
      <c r="D29" s="33"/>
      <c r="E29" s="33"/>
      <c r="F29" s="33"/>
      <c r="G29" s="39"/>
      <c r="H29" s="39" t="str">
        <f t="shared" si="0"/>
        <v/>
      </c>
      <c r="I29" s="33"/>
      <c r="J29" s="33"/>
    </row>
    <row r="30" spans="1:10" x14ac:dyDescent="0.25">
      <c r="A30" s="33" t="s">
        <v>483</v>
      </c>
      <c r="B30" s="33"/>
      <c r="C30" s="33" t="s">
        <v>30</v>
      </c>
      <c r="D30" s="33"/>
      <c r="E30" s="33"/>
      <c r="F30" s="33"/>
      <c r="G30" s="39"/>
      <c r="H30" s="39" t="str">
        <f t="shared" si="0"/>
        <v/>
      </c>
      <c r="I30" s="33"/>
      <c r="J30" s="33"/>
    </row>
    <row r="31" spans="1:10" x14ac:dyDescent="0.25">
      <c r="A31" s="33" t="s">
        <v>484</v>
      </c>
      <c r="B31" s="33"/>
      <c r="C31" s="33" t="s">
        <v>30</v>
      </c>
      <c r="D31" s="33"/>
      <c r="E31" s="33"/>
      <c r="F31" s="33"/>
      <c r="G31" s="39"/>
      <c r="H31" s="39" t="str">
        <f t="shared" si="0"/>
        <v/>
      </c>
      <c r="I31" s="33"/>
      <c r="J31" s="33"/>
    </row>
    <row r="32" spans="1:10" x14ac:dyDescent="0.25">
      <c r="A32" s="33" t="s">
        <v>485</v>
      </c>
      <c r="B32" s="33"/>
      <c r="C32" s="33" t="s">
        <v>30</v>
      </c>
      <c r="D32" s="33"/>
      <c r="E32" s="33"/>
      <c r="F32" s="33"/>
      <c r="G32" s="39"/>
      <c r="H32" s="39" t="str">
        <f t="shared" si="0"/>
        <v/>
      </c>
      <c r="I32" s="33"/>
      <c r="J32" s="33"/>
    </row>
    <row r="33" spans="1:10" x14ac:dyDescent="0.25">
      <c r="A33" s="33" t="s">
        <v>486</v>
      </c>
      <c r="B33" s="33"/>
      <c r="C33" s="33" t="s">
        <v>30</v>
      </c>
      <c r="D33" s="33"/>
      <c r="E33" s="33"/>
      <c r="F33" s="33"/>
      <c r="G33" s="39"/>
      <c r="H33" s="39" t="str">
        <f t="shared" si="0"/>
        <v/>
      </c>
      <c r="I33" s="33"/>
      <c r="J33" s="33"/>
    </row>
    <row r="34" spans="1:10" x14ac:dyDescent="0.25">
      <c r="A34" s="33" t="s">
        <v>487</v>
      </c>
      <c r="B34" s="33"/>
      <c r="C34" s="33" t="s">
        <v>30</v>
      </c>
      <c r="D34" s="33"/>
      <c r="E34" s="33"/>
      <c r="F34" s="33"/>
      <c r="G34" s="39"/>
      <c r="H34" s="39" t="str">
        <f t="shared" si="0"/>
        <v/>
      </c>
      <c r="I34" s="33"/>
      <c r="J34" s="33"/>
    </row>
    <row r="35" spans="1:10" x14ac:dyDescent="0.25">
      <c r="A35" s="33" t="s">
        <v>488</v>
      </c>
      <c r="B35" s="33"/>
      <c r="C35" s="33" t="s">
        <v>30</v>
      </c>
      <c r="D35" s="33"/>
      <c r="E35" s="33"/>
      <c r="F35" s="33"/>
      <c r="G35" s="39"/>
      <c r="H35" s="39" t="str">
        <f t="shared" si="0"/>
        <v/>
      </c>
      <c r="I35" s="33"/>
      <c r="J35" s="33"/>
    </row>
    <row r="36" spans="1:10" x14ac:dyDescent="0.25">
      <c r="A36" s="33" t="s">
        <v>489</v>
      </c>
      <c r="B36" s="33"/>
      <c r="C36" s="33" t="s">
        <v>30</v>
      </c>
      <c r="D36" s="33"/>
      <c r="E36" s="33"/>
      <c r="F36" s="33"/>
      <c r="G36" s="39"/>
      <c r="H36" s="39" t="str">
        <f t="shared" si="0"/>
        <v/>
      </c>
      <c r="I36" s="33"/>
      <c r="J36" s="33"/>
    </row>
    <row r="37" spans="1:10" x14ac:dyDescent="0.25">
      <c r="A37" s="33" t="s">
        <v>490</v>
      </c>
      <c r="B37" s="33"/>
      <c r="C37" s="33" t="s">
        <v>30</v>
      </c>
      <c r="D37" s="33"/>
      <c r="E37" s="33"/>
      <c r="F37" s="33"/>
      <c r="G37" s="39"/>
      <c r="H37" s="39" t="str">
        <f t="shared" si="0"/>
        <v/>
      </c>
      <c r="I37" s="33"/>
      <c r="J37" s="33"/>
    </row>
    <row r="38" spans="1:10" x14ac:dyDescent="0.25">
      <c r="A38" s="33" t="s">
        <v>491</v>
      </c>
      <c r="B38" s="33"/>
      <c r="C38" s="33" t="s">
        <v>30</v>
      </c>
      <c r="D38" s="33"/>
      <c r="E38" s="33"/>
      <c r="F38" s="33"/>
      <c r="G38" s="39"/>
      <c r="H38" s="39" t="str">
        <f t="shared" ref="H38:H69" si="1">IF(OR(F38="",G38=""),"",F38*G38)</f>
        <v/>
      </c>
      <c r="I38" s="33"/>
      <c r="J38" s="33"/>
    </row>
    <row r="39" spans="1:10" x14ac:dyDescent="0.25">
      <c r="A39" s="33" t="s">
        <v>492</v>
      </c>
      <c r="B39" s="33"/>
      <c r="C39" s="33" t="s">
        <v>30</v>
      </c>
      <c r="D39" s="33"/>
      <c r="E39" s="33"/>
      <c r="F39" s="33"/>
      <c r="G39" s="39"/>
      <c r="H39" s="39" t="str">
        <f t="shared" si="1"/>
        <v/>
      </c>
      <c r="I39" s="33"/>
      <c r="J39" s="33"/>
    </row>
    <row r="40" spans="1:10" x14ac:dyDescent="0.25">
      <c r="A40" s="33" t="s">
        <v>493</v>
      </c>
      <c r="B40" s="33"/>
      <c r="C40" s="33" t="s">
        <v>30</v>
      </c>
      <c r="D40" s="33"/>
      <c r="E40" s="33"/>
      <c r="F40" s="33"/>
      <c r="G40" s="39"/>
      <c r="H40" s="39" t="str">
        <f t="shared" si="1"/>
        <v/>
      </c>
      <c r="I40" s="33"/>
      <c r="J40" s="33"/>
    </row>
    <row r="41" spans="1:10" x14ac:dyDescent="0.25">
      <c r="A41" s="33" t="s">
        <v>494</v>
      </c>
      <c r="B41" s="33"/>
      <c r="C41" s="33" t="s">
        <v>30</v>
      </c>
      <c r="D41" s="33"/>
      <c r="E41" s="33"/>
      <c r="F41" s="33"/>
      <c r="G41" s="39"/>
      <c r="H41" s="39" t="str">
        <f t="shared" si="1"/>
        <v/>
      </c>
      <c r="I41" s="33"/>
      <c r="J41" s="33"/>
    </row>
    <row r="42" spans="1:10" x14ac:dyDescent="0.25">
      <c r="A42" s="33" t="s">
        <v>495</v>
      </c>
      <c r="B42" s="33"/>
      <c r="C42" s="33" t="s">
        <v>30</v>
      </c>
      <c r="D42" s="33"/>
      <c r="E42" s="33"/>
      <c r="F42" s="33"/>
      <c r="G42" s="39"/>
      <c r="H42" s="39" t="str">
        <f t="shared" si="1"/>
        <v/>
      </c>
      <c r="I42" s="33"/>
      <c r="J42" s="33"/>
    </row>
    <row r="43" spans="1:10" x14ac:dyDescent="0.25">
      <c r="A43" s="33" t="s">
        <v>496</v>
      </c>
      <c r="B43" s="33"/>
      <c r="C43" s="33" t="s">
        <v>30</v>
      </c>
      <c r="D43" s="33"/>
      <c r="E43" s="33"/>
      <c r="F43" s="33"/>
      <c r="G43" s="39"/>
      <c r="H43" s="39" t="str">
        <f t="shared" si="1"/>
        <v/>
      </c>
      <c r="I43" s="33"/>
      <c r="J43" s="33"/>
    </row>
    <row r="44" spans="1:10" x14ac:dyDescent="0.25">
      <c r="A44" s="33" t="s">
        <v>497</v>
      </c>
      <c r="B44" s="33"/>
      <c r="C44" s="33" t="s">
        <v>30</v>
      </c>
      <c r="D44" s="33"/>
      <c r="E44" s="33"/>
      <c r="F44" s="33"/>
      <c r="G44" s="39"/>
      <c r="H44" s="39" t="str">
        <f t="shared" si="1"/>
        <v/>
      </c>
      <c r="I44" s="33"/>
      <c r="J44" s="33"/>
    </row>
    <row r="45" spans="1:10" x14ac:dyDescent="0.25">
      <c r="A45" s="33" t="s">
        <v>498</v>
      </c>
      <c r="B45" s="33"/>
      <c r="C45" s="33" t="s">
        <v>30</v>
      </c>
      <c r="D45" s="33"/>
      <c r="E45" s="33"/>
      <c r="F45" s="33"/>
      <c r="G45" s="39"/>
      <c r="H45" s="39" t="str">
        <f t="shared" si="1"/>
        <v/>
      </c>
      <c r="I45" s="33"/>
      <c r="J45" s="33"/>
    </row>
    <row r="46" spans="1:10" x14ac:dyDescent="0.25">
      <c r="A46" s="33" t="s">
        <v>499</v>
      </c>
      <c r="B46" s="33"/>
      <c r="C46" s="33" t="s">
        <v>30</v>
      </c>
      <c r="D46" s="33"/>
      <c r="E46" s="33"/>
      <c r="F46" s="33"/>
      <c r="G46" s="39"/>
      <c r="H46" s="39" t="str">
        <f t="shared" si="1"/>
        <v/>
      </c>
      <c r="I46" s="33"/>
      <c r="J46" s="33"/>
    </row>
    <row r="47" spans="1:10" x14ac:dyDescent="0.25">
      <c r="A47" s="33" t="s">
        <v>500</v>
      </c>
      <c r="B47" s="33"/>
      <c r="C47" s="33" t="s">
        <v>30</v>
      </c>
      <c r="D47" s="33"/>
      <c r="E47" s="33"/>
      <c r="F47" s="33"/>
      <c r="G47" s="39"/>
      <c r="H47" s="39" t="str">
        <f t="shared" si="1"/>
        <v/>
      </c>
      <c r="I47" s="33"/>
      <c r="J47" s="33"/>
    </row>
    <row r="48" spans="1:10" x14ac:dyDescent="0.25">
      <c r="A48" s="33" t="s">
        <v>501</v>
      </c>
      <c r="B48" s="33"/>
      <c r="C48" s="33" t="s">
        <v>30</v>
      </c>
      <c r="D48" s="33"/>
      <c r="E48" s="33"/>
      <c r="F48" s="33"/>
      <c r="G48" s="39"/>
      <c r="H48" s="39" t="str">
        <f t="shared" si="1"/>
        <v/>
      </c>
      <c r="I48" s="33"/>
      <c r="J48" s="33"/>
    </row>
    <row r="49" spans="1:10" x14ac:dyDescent="0.25">
      <c r="A49" s="33" t="s">
        <v>502</v>
      </c>
      <c r="B49" s="33"/>
      <c r="C49" s="33" t="s">
        <v>30</v>
      </c>
      <c r="D49" s="33"/>
      <c r="E49" s="33"/>
      <c r="F49" s="33"/>
      <c r="G49" s="39"/>
      <c r="H49" s="39" t="str">
        <f t="shared" si="1"/>
        <v/>
      </c>
      <c r="I49" s="33"/>
      <c r="J49" s="33"/>
    </row>
    <row r="50" spans="1:10" x14ac:dyDescent="0.25">
      <c r="A50" s="33" t="s">
        <v>503</v>
      </c>
      <c r="B50" s="33"/>
      <c r="C50" s="33" t="s">
        <v>30</v>
      </c>
      <c r="D50" s="33"/>
      <c r="E50" s="33"/>
      <c r="F50" s="33"/>
      <c r="G50" s="39"/>
      <c r="H50" s="39" t="str">
        <f t="shared" si="1"/>
        <v/>
      </c>
      <c r="I50" s="33"/>
      <c r="J50" s="33"/>
    </row>
    <row r="51" spans="1:10" x14ac:dyDescent="0.25">
      <c r="A51" s="33" t="s">
        <v>504</v>
      </c>
      <c r="B51" s="33"/>
      <c r="C51" s="33" t="s">
        <v>30</v>
      </c>
      <c r="D51" s="33"/>
      <c r="E51" s="33"/>
      <c r="F51" s="33"/>
      <c r="G51" s="39"/>
      <c r="H51" s="39" t="str">
        <f t="shared" si="1"/>
        <v/>
      </c>
      <c r="I51" s="33"/>
      <c r="J51" s="33"/>
    </row>
    <row r="52" spans="1:10" x14ac:dyDescent="0.25">
      <c r="A52" s="33" t="s">
        <v>505</v>
      </c>
      <c r="B52" s="33"/>
      <c r="C52" s="33" t="s">
        <v>30</v>
      </c>
      <c r="D52" s="33"/>
      <c r="E52" s="33"/>
      <c r="F52" s="33"/>
      <c r="G52" s="39"/>
      <c r="H52" s="39" t="str">
        <f t="shared" si="1"/>
        <v/>
      </c>
      <c r="I52" s="33"/>
      <c r="J52" s="33"/>
    </row>
    <row r="53" spans="1:10" x14ac:dyDescent="0.25">
      <c r="A53" s="33" t="s">
        <v>506</v>
      </c>
      <c r="B53" s="33"/>
      <c r="C53" s="33" t="s">
        <v>30</v>
      </c>
      <c r="D53" s="33"/>
      <c r="E53" s="33"/>
      <c r="F53" s="33"/>
      <c r="G53" s="39"/>
      <c r="H53" s="39" t="str">
        <f t="shared" si="1"/>
        <v/>
      </c>
      <c r="I53" s="33"/>
      <c r="J53" s="33"/>
    </row>
    <row r="54" spans="1:10" x14ac:dyDescent="0.25">
      <c r="A54" s="33" t="s">
        <v>507</v>
      </c>
      <c r="B54" s="33"/>
      <c r="C54" s="33" t="s">
        <v>30</v>
      </c>
      <c r="D54" s="33"/>
      <c r="E54" s="33"/>
      <c r="F54" s="33"/>
      <c r="G54" s="39"/>
      <c r="H54" s="39" t="str">
        <f t="shared" si="1"/>
        <v/>
      </c>
      <c r="I54" s="33"/>
      <c r="J54" s="33"/>
    </row>
    <row r="55" spans="1:10" x14ac:dyDescent="0.25">
      <c r="A55" s="33" t="s">
        <v>508</v>
      </c>
      <c r="B55" s="33"/>
      <c r="C55" s="33" t="s">
        <v>30</v>
      </c>
      <c r="D55" s="33"/>
      <c r="E55" s="33"/>
      <c r="F55" s="33"/>
      <c r="G55" s="39"/>
      <c r="H55" s="39" t="str">
        <f t="shared" si="1"/>
        <v/>
      </c>
      <c r="I55" s="33"/>
      <c r="J55" s="33"/>
    </row>
    <row r="56" spans="1:10" x14ac:dyDescent="0.25">
      <c r="A56" s="33" t="s">
        <v>509</v>
      </c>
      <c r="B56" s="33"/>
      <c r="C56" s="33" t="s">
        <v>30</v>
      </c>
      <c r="D56" s="33"/>
      <c r="E56" s="33"/>
      <c r="F56" s="33"/>
      <c r="G56" s="39"/>
      <c r="H56" s="39" t="str">
        <f t="shared" si="1"/>
        <v/>
      </c>
      <c r="I56" s="33"/>
      <c r="J56" s="33"/>
    </row>
    <row r="57" spans="1:10" x14ac:dyDescent="0.25">
      <c r="A57" s="33" t="s">
        <v>510</v>
      </c>
      <c r="B57" s="33"/>
      <c r="C57" s="33" t="s">
        <v>30</v>
      </c>
      <c r="D57" s="33"/>
      <c r="E57" s="33"/>
      <c r="F57" s="33"/>
      <c r="G57" s="39"/>
      <c r="H57" s="39" t="str">
        <f t="shared" si="1"/>
        <v/>
      </c>
      <c r="I57" s="33"/>
      <c r="J57" s="33"/>
    </row>
    <row r="58" spans="1:10" x14ac:dyDescent="0.25">
      <c r="A58" s="33" t="s">
        <v>511</v>
      </c>
      <c r="B58" s="33"/>
      <c r="C58" s="33" t="s">
        <v>30</v>
      </c>
      <c r="D58" s="33"/>
      <c r="E58" s="33"/>
      <c r="F58" s="33"/>
      <c r="G58" s="39"/>
      <c r="H58" s="39" t="str">
        <f t="shared" si="1"/>
        <v/>
      </c>
      <c r="I58" s="33"/>
      <c r="J58" s="33"/>
    </row>
    <row r="59" spans="1:10" x14ac:dyDescent="0.25">
      <c r="A59" s="33" t="s">
        <v>512</v>
      </c>
      <c r="B59" s="33"/>
      <c r="C59" s="33" t="s">
        <v>30</v>
      </c>
      <c r="D59" s="33"/>
      <c r="E59" s="33"/>
      <c r="F59" s="33"/>
      <c r="G59" s="39"/>
      <c r="H59" s="39" t="str">
        <f t="shared" si="1"/>
        <v/>
      </c>
      <c r="I59" s="33"/>
      <c r="J59" s="33"/>
    </row>
    <row r="60" spans="1:10" x14ac:dyDescent="0.25">
      <c r="A60" s="33" t="s">
        <v>513</v>
      </c>
      <c r="B60" s="33"/>
      <c r="C60" s="33" t="s">
        <v>30</v>
      </c>
      <c r="D60" s="33"/>
      <c r="E60" s="33"/>
      <c r="F60" s="33"/>
      <c r="G60" s="39"/>
      <c r="H60" s="39" t="str">
        <f t="shared" si="1"/>
        <v/>
      </c>
      <c r="I60" s="33"/>
      <c r="J60" s="33"/>
    </row>
    <row r="61" spans="1:10" x14ac:dyDescent="0.25">
      <c r="A61" s="33" t="s">
        <v>514</v>
      </c>
      <c r="B61" s="33"/>
      <c r="C61" s="33" t="s">
        <v>30</v>
      </c>
      <c r="D61" s="33"/>
      <c r="E61" s="33"/>
      <c r="F61" s="33"/>
      <c r="G61" s="39"/>
      <c r="H61" s="39" t="str">
        <f t="shared" si="1"/>
        <v/>
      </c>
      <c r="I61" s="33"/>
      <c r="J61" s="33"/>
    </row>
    <row r="62" spans="1:10" x14ac:dyDescent="0.25">
      <c r="A62" s="33" t="s">
        <v>515</v>
      </c>
      <c r="B62" s="33"/>
      <c r="C62" s="33" t="s">
        <v>30</v>
      </c>
      <c r="D62" s="33"/>
      <c r="E62" s="33"/>
      <c r="F62" s="33"/>
      <c r="G62" s="39"/>
      <c r="H62" s="39" t="str">
        <f t="shared" si="1"/>
        <v/>
      </c>
      <c r="I62" s="33"/>
      <c r="J62" s="33"/>
    </row>
    <row r="63" spans="1:10" x14ac:dyDescent="0.25">
      <c r="A63" s="33" t="s">
        <v>516</v>
      </c>
      <c r="B63" s="33"/>
      <c r="C63" s="33" t="s">
        <v>30</v>
      </c>
      <c r="D63" s="33"/>
      <c r="E63" s="33"/>
      <c r="F63" s="33"/>
      <c r="G63" s="39"/>
      <c r="H63" s="39" t="str">
        <f t="shared" si="1"/>
        <v/>
      </c>
      <c r="I63" s="33"/>
      <c r="J63" s="33"/>
    </row>
    <row r="64" spans="1:10" x14ac:dyDescent="0.25">
      <c r="A64" s="33" t="s">
        <v>517</v>
      </c>
      <c r="B64" s="33"/>
      <c r="C64" s="33" t="s">
        <v>30</v>
      </c>
      <c r="D64" s="33"/>
      <c r="E64" s="33"/>
      <c r="F64" s="33"/>
      <c r="G64" s="39"/>
      <c r="H64" s="39" t="str">
        <f t="shared" si="1"/>
        <v/>
      </c>
      <c r="I64" s="33"/>
      <c r="J64" s="33"/>
    </row>
    <row r="65" spans="1:10" x14ac:dyDescent="0.25">
      <c r="A65" s="33" t="s">
        <v>518</v>
      </c>
      <c r="B65" s="33"/>
      <c r="C65" s="33" t="s">
        <v>30</v>
      </c>
      <c r="D65" s="33"/>
      <c r="E65" s="33"/>
      <c r="F65" s="33"/>
      <c r="G65" s="39"/>
      <c r="H65" s="39" t="str">
        <f t="shared" si="1"/>
        <v/>
      </c>
      <c r="I65" s="33"/>
      <c r="J65" s="33"/>
    </row>
    <row r="66" spans="1:10" x14ac:dyDescent="0.25">
      <c r="A66" s="33" t="s">
        <v>519</v>
      </c>
      <c r="B66" s="33"/>
      <c r="C66" s="33" t="s">
        <v>30</v>
      </c>
      <c r="D66" s="33"/>
      <c r="E66" s="33"/>
      <c r="F66" s="33"/>
      <c r="G66" s="39"/>
      <c r="H66" s="39" t="str">
        <f t="shared" si="1"/>
        <v/>
      </c>
      <c r="I66" s="33"/>
      <c r="J66" s="33"/>
    </row>
    <row r="67" spans="1:10" x14ac:dyDescent="0.25">
      <c r="A67" s="33" t="s">
        <v>520</v>
      </c>
      <c r="B67" s="33"/>
      <c r="C67" s="33" t="s">
        <v>30</v>
      </c>
      <c r="D67" s="33"/>
      <c r="E67" s="33"/>
      <c r="F67" s="33"/>
      <c r="G67" s="39"/>
      <c r="H67" s="39" t="str">
        <f t="shared" si="1"/>
        <v/>
      </c>
      <c r="I67" s="33"/>
      <c r="J67" s="33"/>
    </row>
    <row r="68" spans="1:10" x14ac:dyDescent="0.25">
      <c r="A68" s="33" t="s">
        <v>521</v>
      </c>
      <c r="B68" s="33"/>
      <c r="C68" s="33" t="s">
        <v>30</v>
      </c>
      <c r="D68" s="33"/>
      <c r="E68" s="33"/>
      <c r="F68" s="33"/>
      <c r="G68" s="39"/>
      <c r="H68" s="39" t="str">
        <f t="shared" si="1"/>
        <v/>
      </c>
      <c r="I68" s="33"/>
      <c r="J68" s="33"/>
    </row>
    <row r="69" spans="1:10" x14ac:dyDescent="0.25">
      <c r="A69" s="33" t="s">
        <v>522</v>
      </c>
      <c r="B69" s="33"/>
      <c r="C69" s="33" t="s">
        <v>30</v>
      </c>
      <c r="D69" s="33"/>
      <c r="E69" s="33"/>
      <c r="F69" s="33"/>
      <c r="G69" s="39"/>
      <c r="H69" s="39" t="str">
        <f t="shared" si="1"/>
        <v/>
      </c>
      <c r="I69" s="33"/>
      <c r="J69" s="33"/>
    </row>
    <row r="70" spans="1:10" x14ac:dyDescent="0.25">
      <c r="A70" s="33" t="s">
        <v>523</v>
      </c>
      <c r="B70" s="33"/>
      <c r="C70" s="33" t="s">
        <v>30</v>
      </c>
      <c r="D70" s="33"/>
      <c r="E70" s="33"/>
      <c r="F70" s="33"/>
      <c r="G70" s="39"/>
      <c r="H70" s="39" t="str">
        <f t="shared" ref="H70:H101" si="2">IF(OR(F70="",G70=""),"",F70*G70)</f>
        <v/>
      </c>
      <c r="I70" s="33"/>
      <c r="J70" s="33"/>
    </row>
    <row r="71" spans="1:10" x14ac:dyDescent="0.25">
      <c r="A71" s="33" t="s">
        <v>524</v>
      </c>
      <c r="B71" s="33"/>
      <c r="C71" s="33" t="s">
        <v>30</v>
      </c>
      <c r="D71" s="33"/>
      <c r="E71" s="33"/>
      <c r="F71" s="33"/>
      <c r="G71" s="39"/>
      <c r="H71" s="39" t="str">
        <f t="shared" si="2"/>
        <v/>
      </c>
      <c r="I71" s="33"/>
      <c r="J71" s="33"/>
    </row>
    <row r="72" spans="1:10" x14ac:dyDescent="0.25">
      <c r="A72" s="33" t="s">
        <v>525</v>
      </c>
      <c r="B72" s="33"/>
      <c r="C72" s="33" t="s">
        <v>30</v>
      </c>
      <c r="D72" s="33"/>
      <c r="E72" s="33"/>
      <c r="F72" s="33"/>
      <c r="G72" s="39"/>
      <c r="H72" s="39" t="str">
        <f t="shared" si="2"/>
        <v/>
      </c>
      <c r="I72" s="33"/>
      <c r="J72" s="33"/>
    </row>
    <row r="73" spans="1:10" x14ac:dyDescent="0.25">
      <c r="A73" s="33" t="s">
        <v>526</v>
      </c>
      <c r="B73" s="33"/>
      <c r="C73" s="33" t="s">
        <v>30</v>
      </c>
      <c r="D73" s="33"/>
      <c r="E73" s="33"/>
      <c r="F73" s="33"/>
      <c r="G73" s="39"/>
      <c r="H73" s="39" t="str">
        <f t="shared" si="2"/>
        <v/>
      </c>
      <c r="I73" s="33"/>
      <c r="J73" s="33"/>
    </row>
    <row r="74" spans="1:10" x14ac:dyDescent="0.25">
      <c r="A74" s="33" t="s">
        <v>527</v>
      </c>
      <c r="B74" s="33"/>
      <c r="C74" s="33" t="s">
        <v>30</v>
      </c>
      <c r="D74" s="33"/>
      <c r="E74" s="33"/>
      <c r="F74" s="33"/>
      <c r="G74" s="39"/>
      <c r="H74" s="39" t="str">
        <f t="shared" si="2"/>
        <v/>
      </c>
      <c r="I74" s="33"/>
      <c r="J74" s="33"/>
    </row>
    <row r="75" spans="1:10" x14ac:dyDescent="0.25">
      <c r="A75" s="33" t="s">
        <v>528</v>
      </c>
      <c r="B75" s="33"/>
      <c r="C75" s="33" t="s">
        <v>30</v>
      </c>
      <c r="D75" s="33"/>
      <c r="E75" s="33"/>
      <c r="F75" s="33"/>
      <c r="G75" s="39"/>
      <c r="H75" s="39" t="str">
        <f t="shared" si="2"/>
        <v/>
      </c>
      <c r="I75" s="33"/>
      <c r="J75" s="33"/>
    </row>
    <row r="76" spans="1:10" x14ac:dyDescent="0.25">
      <c r="A76" s="33" t="s">
        <v>529</v>
      </c>
      <c r="B76" s="33"/>
      <c r="C76" s="33" t="s">
        <v>30</v>
      </c>
      <c r="D76" s="33"/>
      <c r="E76" s="33"/>
      <c r="F76" s="33"/>
      <c r="G76" s="39"/>
      <c r="H76" s="39" t="str">
        <f t="shared" si="2"/>
        <v/>
      </c>
      <c r="I76" s="33"/>
      <c r="J76" s="33"/>
    </row>
    <row r="77" spans="1:10" x14ac:dyDescent="0.25">
      <c r="A77" s="33" t="s">
        <v>530</v>
      </c>
      <c r="B77" s="33"/>
      <c r="C77" s="33" t="s">
        <v>30</v>
      </c>
      <c r="D77" s="33"/>
      <c r="E77" s="33"/>
      <c r="F77" s="33"/>
      <c r="G77" s="39"/>
      <c r="H77" s="39" t="str">
        <f t="shared" si="2"/>
        <v/>
      </c>
      <c r="I77" s="33"/>
      <c r="J77" s="33"/>
    </row>
    <row r="78" spans="1:10" x14ac:dyDescent="0.25">
      <c r="A78" s="33" t="s">
        <v>531</v>
      </c>
      <c r="B78" s="33"/>
      <c r="C78" s="33" t="s">
        <v>30</v>
      </c>
      <c r="D78" s="33"/>
      <c r="E78" s="33"/>
      <c r="F78" s="33"/>
      <c r="G78" s="39"/>
      <c r="H78" s="39" t="str">
        <f t="shared" si="2"/>
        <v/>
      </c>
      <c r="I78" s="33"/>
      <c r="J78" s="33"/>
    </row>
    <row r="79" spans="1:10" x14ac:dyDescent="0.25">
      <c r="A79" s="33" t="s">
        <v>532</v>
      </c>
      <c r="B79" s="33"/>
      <c r="C79" s="33" t="s">
        <v>30</v>
      </c>
      <c r="D79" s="33"/>
      <c r="E79" s="33"/>
      <c r="F79" s="33"/>
      <c r="G79" s="39"/>
      <c r="H79" s="39" t="str">
        <f t="shared" si="2"/>
        <v/>
      </c>
      <c r="I79" s="33"/>
      <c r="J79" s="33"/>
    </row>
  </sheetData>
  <autoFilter ref="A1:J1" xr:uid="{00000000-0009-0000-0000-000005000000}"/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500-000000000000}">
          <x14:formula1>
            <xm:f>'Đối tác'!$A$2:$A$200</xm:f>
          </x14:formula1>
          <xm:sqref>C2:C500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139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2" width="16" customWidth="1"/>
    <col min="3" max="3" width="24" customWidth="1"/>
    <col min="4" max="4" width="18" customWidth="1"/>
    <col min="5" max="5" width="38" customWidth="1"/>
    <col min="6" max="8" width="16" customWidth="1"/>
    <col min="9" max="9" width="34" customWidth="1"/>
    <col min="10" max="10" width="24" customWidth="1"/>
  </cols>
  <sheetData>
    <row r="1" spans="1:10" ht="27.95" customHeight="1" x14ac:dyDescent="0.25">
      <c r="A1" s="37" t="s">
        <v>533</v>
      </c>
      <c r="B1" s="37" t="s">
        <v>534</v>
      </c>
      <c r="C1" s="37" t="s">
        <v>535</v>
      </c>
      <c r="D1" s="37" t="s">
        <v>536</v>
      </c>
      <c r="E1" s="37" t="s">
        <v>537</v>
      </c>
      <c r="F1" s="37" t="s">
        <v>538</v>
      </c>
      <c r="G1" s="37" t="s">
        <v>539</v>
      </c>
      <c r="H1" s="37" t="s">
        <v>540</v>
      </c>
      <c r="I1" s="37" t="s">
        <v>29</v>
      </c>
      <c r="J1" s="37" t="s">
        <v>52</v>
      </c>
    </row>
    <row r="2" spans="1:10" x14ac:dyDescent="0.25">
      <c r="A2" s="33" t="s">
        <v>541</v>
      </c>
      <c r="B2" s="33"/>
      <c r="C2" s="33" t="s">
        <v>542</v>
      </c>
      <c r="D2" s="33" t="s">
        <v>543</v>
      </c>
      <c r="E2" s="33" t="s">
        <v>544</v>
      </c>
      <c r="F2" s="39">
        <v>1200000</v>
      </c>
      <c r="G2" s="39">
        <v>1200000</v>
      </c>
      <c r="H2" s="36">
        <f t="shared" ref="H2:H33" si="0">MAX(F2-G2,0)</f>
        <v>0</v>
      </c>
      <c r="I2" s="33"/>
      <c r="J2" s="33" t="s">
        <v>545</v>
      </c>
    </row>
    <row r="3" spans="1:10" x14ac:dyDescent="0.25">
      <c r="A3" s="33" t="s">
        <v>546</v>
      </c>
      <c r="B3" s="33"/>
      <c r="C3" s="33" t="s">
        <v>547</v>
      </c>
      <c r="D3" s="33" t="s">
        <v>548</v>
      </c>
      <c r="E3" s="33" t="s">
        <v>549</v>
      </c>
      <c r="F3" s="39">
        <v>950000</v>
      </c>
      <c r="G3" s="39">
        <v>950000</v>
      </c>
      <c r="H3" s="36">
        <f t="shared" si="0"/>
        <v>0</v>
      </c>
      <c r="I3" s="33" t="s">
        <v>550</v>
      </c>
      <c r="J3" s="33" t="s">
        <v>551</v>
      </c>
    </row>
    <row r="4" spans="1:10" x14ac:dyDescent="0.25">
      <c r="A4" s="33" t="s">
        <v>552</v>
      </c>
      <c r="B4" s="33"/>
      <c r="C4" s="33" t="s">
        <v>553</v>
      </c>
      <c r="D4" s="33" t="s">
        <v>554</v>
      </c>
      <c r="E4" s="33" t="s">
        <v>555</v>
      </c>
      <c r="F4" s="39">
        <v>1200000</v>
      </c>
      <c r="G4" s="39">
        <v>1200000</v>
      </c>
      <c r="H4" s="36">
        <f t="shared" si="0"/>
        <v>0</v>
      </c>
      <c r="I4" s="33"/>
      <c r="J4" s="33" t="s">
        <v>556</v>
      </c>
    </row>
    <row r="5" spans="1:10" x14ac:dyDescent="0.25">
      <c r="A5" s="33" t="s">
        <v>557</v>
      </c>
      <c r="B5" s="33"/>
      <c r="C5" s="33" t="s">
        <v>558</v>
      </c>
      <c r="D5" s="33" t="s">
        <v>559</v>
      </c>
      <c r="E5" s="33" t="s">
        <v>560</v>
      </c>
      <c r="F5" s="39">
        <v>550000</v>
      </c>
      <c r="G5" s="39">
        <v>550000</v>
      </c>
      <c r="H5" s="36">
        <f t="shared" si="0"/>
        <v>0</v>
      </c>
      <c r="I5" s="33"/>
      <c r="J5" s="33" t="s">
        <v>561</v>
      </c>
    </row>
    <row r="6" spans="1:10" x14ac:dyDescent="0.25">
      <c r="A6" s="33" t="s">
        <v>562</v>
      </c>
      <c r="B6" s="33"/>
      <c r="C6" s="33" t="s">
        <v>563</v>
      </c>
      <c r="D6" s="33" t="s">
        <v>564</v>
      </c>
      <c r="E6" s="33" t="s">
        <v>565</v>
      </c>
      <c r="F6" s="39">
        <v>600000</v>
      </c>
      <c r="G6" s="39">
        <v>600000</v>
      </c>
      <c r="H6" s="36">
        <f t="shared" si="0"/>
        <v>0</v>
      </c>
      <c r="I6" s="33"/>
      <c r="J6" s="33" t="s">
        <v>566</v>
      </c>
    </row>
    <row r="7" spans="1:10" x14ac:dyDescent="0.25">
      <c r="A7" s="33" t="s">
        <v>567</v>
      </c>
      <c r="B7" s="33"/>
      <c r="C7" s="33" t="s">
        <v>568</v>
      </c>
      <c r="D7" s="33" t="s">
        <v>569</v>
      </c>
      <c r="E7" s="33" t="s">
        <v>570</v>
      </c>
      <c r="F7" s="39"/>
      <c r="G7" s="39"/>
      <c r="H7" s="36">
        <f t="shared" si="0"/>
        <v>0</v>
      </c>
      <c r="I7" s="33"/>
      <c r="J7" s="33" t="s">
        <v>571</v>
      </c>
    </row>
    <row r="8" spans="1:10" x14ac:dyDescent="0.25">
      <c r="A8" s="33" t="s">
        <v>572</v>
      </c>
      <c r="B8" s="33"/>
      <c r="C8" s="33" t="s">
        <v>573</v>
      </c>
      <c r="D8" s="33"/>
      <c r="E8" s="33" t="s">
        <v>574</v>
      </c>
      <c r="F8" s="39">
        <v>2300000</v>
      </c>
      <c r="G8" s="39">
        <v>1700000</v>
      </c>
      <c r="H8" s="36">
        <f t="shared" si="0"/>
        <v>600000</v>
      </c>
      <c r="I8" s="33"/>
      <c r="J8" s="33" t="s">
        <v>575</v>
      </c>
    </row>
    <row r="9" spans="1:10" x14ac:dyDescent="0.25">
      <c r="A9" s="33" t="s">
        <v>576</v>
      </c>
      <c r="B9" s="33"/>
      <c r="C9" s="33" t="s">
        <v>577</v>
      </c>
      <c r="D9" s="33"/>
      <c r="E9" s="33" t="s">
        <v>578</v>
      </c>
      <c r="F9" s="39">
        <v>700000</v>
      </c>
      <c r="G9" s="39">
        <v>700000</v>
      </c>
      <c r="H9" s="36">
        <f t="shared" si="0"/>
        <v>0</v>
      </c>
      <c r="I9" s="33"/>
      <c r="J9" s="33" t="s">
        <v>579</v>
      </c>
    </row>
    <row r="10" spans="1:10" x14ac:dyDescent="0.25">
      <c r="A10" s="33" t="s">
        <v>580</v>
      </c>
      <c r="B10" s="33"/>
      <c r="C10" s="33" t="s">
        <v>581</v>
      </c>
      <c r="D10" s="33"/>
      <c r="E10" s="33" t="s">
        <v>582</v>
      </c>
      <c r="F10" s="39">
        <v>1000000</v>
      </c>
      <c r="G10" s="39">
        <v>1000000</v>
      </c>
      <c r="H10" s="36">
        <f t="shared" si="0"/>
        <v>0</v>
      </c>
      <c r="I10" s="33"/>
      <c r="J10" s="33" t="s">
        <v>583</v>
      </c>
    </row>
    <row r="11" spans="1:10" x14ac:dyDescent="0.25">
      <c r="A11" s="33" t="s">
        <v>584</v>
      </c>
      <c r="B11" s="33"/>
      <c r="C11" s="33" t="s">
        <v>585</v>
      </c>
      <c r="D11" s="33"/>
      <c r="E11" s="33" t="s">
        <v>586</v>
      </c>
      <c r="F11" s="39">
        <v>250000</v>
      </c>
      <c r="G11" s="39">
        <v>250000</v>
      </c>
      <c r="H11" s="36">
        <f t="shared" si="0"/>
        <v>0</v>
      </c>
      <c r="I11" s="33"/>
      <c r="J11" s="33" t="s">
        <v>587</v>
      </c>
    </row>
    <row r="12" spans="1:10" x14ac:dyDescent="0.25">
      <c r="A12" s="33" t="s">
        <v>588</v>
      </c>
      <c r="B12" s="33"/>
      <c r="C12" s="33" t="s">
        <v>589</v>
      </c>
      <c r="D12" s="33"/>
      <c r="E12" s="33" t="s">
        <v>590</v>
      </c>
      <c r="F12" s="39">
        <v>650000</v>
      </c>
      <c r="G12" s="39">
        <v>650000</v>
      </c>
      <c r="H12" s="36">
        <f t="shared" si="0"/>
        <v>0</v>
      </c>
      <c r="I12" s="33"/>
      <c r="J12" s="33" t="s">
        <v>591</v>
      </c>
    </row>
    <row r="13" spans="1:10" x14ac:dyDescent="0.25">
      <c r="A13" s="33" t="s">
        <v>592</v>
      </c>
      <c r="B13" s="33"/>
      <c r="C13" s="33" t="s">
        <v>573</v>
      </c>
      <c r="D13" s="33"/>
      <c r="E13" s="33" t="s">
        <v>593</v>
      </c>
      <c r="F13" s="39">
        <v>3830000</v>
      </c>
      <c r="G13" s="39">
        <v>1600000</v>
      </c>
      <c r="H13" s="36">
        <f t="shared" si="0"/>
        <v>2230000</v>
      </c>
      <c r="I13" s="33"/>
      <c r="J13" s="33" t="s">
        <v>594</v>
      </c>
    </row>
    <row r="14" spans="1:10" ht="45" x14ac:dyDescent="0.25">
      <c r="A14" s="33" t="s">
        <v>595</v>
      </c>
      <c r="B14" s="33" t="s">
        <v>596</v>
      </c>
      <c r="C14" s="33" t="s">
        <v>597</v>
      </c>
      <c r="D14" s="33" t="s">
        <v>598</v>
      </c>
      <c r="E14" s="33" t="s">
        <v>599</v>
      </c>
      <c r="F14" s="39">
        <v>2250000</v>
      </c>
      <c r="G14" s="39">
        <v>2250000</v>
      </c>
      <c r="H14" s="36">
        <f t="shared" si="0"/>
        <v>0</v>
      </c>
      <c r="I14" s="33" t="s">
        <v>600</v>
      </c>
      <c r="J14" s="33" t="s">
        <v>601</v>
      </c>
    </row>
    <row r="15" spans="1:10" ht="30" x14ac:dyDescent="0.25">
      <c r="A15" s="33" t="s">
        <v>602</v>
      </c>
      <c r="B15" s="33" t="s">
        <v>603</v>
      </c>
      <c r="C15" s="33" t="s">
        <v>604</v>
      </c>
      <c r="D15" s="33"/>
      <c r="E15" s="33" t="s">
        <v>605</v>
      </c>
      <c r="F15" s="39">
        <v>150000</v>
      </c>
      <c r="G15" s="39">
        <v>150000</v>
      </c>
      <c r="H15" s="36">
        <f t="shared" si="0"/>
        <v>0</v>
      </c>
      <c r="I15" s="33"/>
      <c r="J15" s="33" t="s">
        <v>606</v>
      </c>
    </row>
    <row r="16" spans="1:10" ht="30" x14ac:dyDescent="0.25">
      <c r="A16" s="33" t="s">
        <v>607</v>
      </c>
      <c r="B16" s="33" t="s">
        <v>608</v>
      </c>
      <c r="C16" s="33" t="s">
        <v>609</v>
      </c>
      <c r="D16" s="33"/>
      <c r="E16" s="33" t="s">
        <v>610</v>
      </c>
      <c r="F16" s="39">
        <v>1500000</v>
      </c>
      <c r="G16" s="39">
        <v>1500000</v>
      </c>
      <c r="H16" s="36">
        <f t="shared" si="0"/>
        <v>0</v>
      </c>
      <c r="I16" s="33"/>
      <c r="J16" s="33" t="s">
        <v>611</v>
      </c>
    </row>
    <row r="17" spans="1:10" x14ac:dyDescent="0.25">
      <c r="A17" s="33" t="s">
        <v>612</v>
      </c>
      <c r="B17" s="33" t="s">
        <v>613</v>
      </c>
      <c r="C17" s="33" t="s">
        <v>609</v>
      </c>
      <c r="D17" s="33"/>
      <c r="E17" s="33" t="s">
        <v>614</v>
      </c>
      <c r="F17" s="39">
        <v>1300000</v>
      </c>
      <c r="G17" s="39">
        <v>1300000</v>
      </c>
      <c r="H17" s="36">
        <f t="shared" si="0"/>
        <v>0</v>
      </c>
      <c r="I17" s="33"/>
      <c r="J17" s="33" t="s">
        <v>615</v>
      </c>
    </row>
    <row r="18" spans="1:10" x14ac:dyDescent="0.25">
      <c r="A18" s="33" t="s">
        <v>616</v>
      </c>
      <c r="B18" s="33" t="s">
        <v>617</v>
      </c>
      <c r="C18" s="33" t="s">
        <v>618</v>
      </c>
      <c r="D18" s="33"/>
      <c r="E18" s="33" t="s">
        <v>619</v>
      </c>
      <c r="F18" s="39">
        <v>1350000</v>
      </c>
      <c r="G18" s="39">
        <v>1350000</v>
      </c>
      <c r="H18" s="36">
        <f t="shared" si="0"/>
        <v>0</v>
      </c>
      <c r="I18" s="33"/>
      <c r="J18" s="33" t="s">
        <v>620</v>
      </c>
    </row>
    <row r="19" spans="1:10" ht="30" x14ac:dyDescent="0.25">
      <c r="A19" s="33" t="s">
        <v>621</v>
      </c>
      <c r="B19" s="33" t="s">
        <v>622</v>
      </c>
      <c r="C19" s="33" t="s">
        <v>623</v>
      </c>
      <c r="D19" s="33"/>
      <c r="E19" s="33" t="s">
        <v>624</v>
      </c>
      <c r="F19" s="39">
        <v>600000</v>
      </c>
      <c r="G19" s="39"/>
      <c r="H19" s="36">
        <f t="shared" si="0"/>
        <v>600000</v>
      </c>
      <c r="I19" s="33"/>
      <c r="J19" s="33" t="s">
        <v>625</v>
      </c>
    </row>
    <row r="20" spans="1:10" ht="30" x14ac:dyDescent="0.25">
      <c r="A20" s="33" t="s">
        <v>626</v>
      </c>
      <c r="B20" s="33" t="s">
        <v>627</v>
      </c>
      <c r="C20" s="33" t="s">
        <v>609</v>
      </c>
      <c r="D20" s="33"/>
      <c r="E20" s="33" t="s">
        <v>628</v>
      </c>
      <c r="F20" s="39">
        <v>1200000</v>
      </c>
      <c r="G20" s="39">
        <v>1200000</v>
      </c>
      <c r="H20" s="36">
        <f t="shared" si="0"/>
        <v>0</v>
      </c>
      <c r="I20" s="33"/>
      <c r="J20" s="33" t="s">
        <v>629</v>
      </c>
    </row>
    <row r="21" spans="1:10" ht="30" x14ac:dyDescent="0.25">
      <c r="A21" s="33" t="s">
        <v>630</v>
      </c>
      <c r="B21" s="33" t="s">
        <v>631</v>
      </c>
      <c r="C21" s="33" t="s">
        <v>632</v>
      </c>
      <c r="D21" s="33"/>
      <c r="E21" s="33" t="s">
        <v>633</v>
      </c>
      <c r="F21" s="39">
        <v>1500000</v>
      </c>
      <c r="G21" s="39">
        <v>1500000</v>
      </c>
      <c r="H21" s="36">
        <f t="shared" si="0"/>
        <v>0</v>
      </c>
      <c r="I21" s="33"/>
      <c r="J21" s="33" t="s">
        <v>634</v>
      </c>
    </row>
    <row r="22" spans="1:10" ht="30" x14ac:dyDescent="0.25">
      <c r="A22" s="33" t="s">
        <v>635</v>
      </c>
      <c r="B22" s="33" t="s">
        <v>636</v>
      </c>
      <c r="C22" s="33" t="s">
        <v>623</v>
      </c>
      <c r="D22" s="33"/>
      <c r="E22" s="33" t="s">
        <v>637</v>
      </c>
      <c r="F22" s="39">
        <v>80000</v>
      </c>
      <c r="G22" s="39"/>
      <c r="H22" s="36">
        <f t="shared" si="0"/>
        <v>80000</v>
      </c>
      <c r="I22" s="33"/>
      <c r="J22" s="33" t="s">
        <v>638</v>
      </c>
    </row>
    <row r="23" spans="1:10" ht="30" x14ac:dyDescent="0.25">
      <c r="A23" s="33" t="s">
        <v>639</v>
      </c>
      <c r="B23" s="33" t="s">
        <v>640</v>
      </c>
      <c r="C23" s="33" t="s">
        <v>623</v>
      </c>
      <c r="D23" s="33"/>
      <c r="E23" s="33" t="s">
        <v>641</v>
      </c>
      <c r="F23" s="39">
        <v>1650000</v>
      </c>
      <c r="G23" s="39"/>
      <c r="H23" s="36">
        <f t="shared" si="0"/>
        <v>1650000</v>
      </c>
      <c r="I23" s="33"/>
      <c r="J23" s="33" t="s">
        <v>642</v>
      </c>
    </row>
    <row r="24" spans="1:10" ht="30" x14ac:dyDescent="0.25">
      <c r="A24" s="33" t="s">
        <v>643</v>
      </c>
      <c r="B24" s="33" t="s">
        <v>644</v>
      </c>
      <c r="C24" s="33" t="s">
        <v>645</v>
      </c>
      <c r="D24" s="33"/>
      <c r="E24" s="33" t="s">
        <v>646</v>
      </c>
      <c r="F24" s="39">
        <v>550000</v>
      </c>
      <c r="G24" s="39">
        <v>550000</v>
      </c>
      <c r="H24" s="36">
        <f t="shared" si="0"/>
        <v>0</v>
      </c>
      <c r="I24" s="33"/>
      <c r="J24" s="33" t="s">
        <v>647</v>
      </c>
    </row>
    <row r="25" spans="1:10" ht="30" x14ac:dyDescent="0.25">
      <c r="A25" s="33" t="s">
        <v>648</v>
      </c>
      <c r="B25" s="33" t="s">
        <v>649</v>
      </c>
      <c r="C25" s="33" t="s">
        <v>650</v>
      </c>
      <c r="D25" s="33" t="s">
        <v>651</v>
      </c>
      <c r="E25" s="33" t="s">
        <v>652</v>
      </c>
      <c r="F25" s="39">
        <v>700000</v>
      </c>
      <c r="G25" s="39">
        <v>700000</v>
      </c>
      <c r="H25" s="36">
        <f t="shared" si="0"/>
        <v>0</v>
      </c>
      <c r="I25" s="33"/>
      <c r="J25" s="33" t="s">
        <v>653</v>
      </c>
    </row>
    <row r="26" spans="1:10" ht="30" x14ac:dyDescent="0.25">
      <c r="A26" s="33" t="s">
        <v>654</v>
      </c>
      <c r="B26" s="33" t="s">
        <v>655</v>
      </c>
      <c r="C26" s="33" t="s">
        <v>656</v>
      </c>
      <c r="D26" s="33"/>
      <c r="E26" s="33" t="s">
        <v>657</v>
      </c>
      <c r="F26" s="39">
        <v>1300000</v>
      </c>
      <c r="G26" s="39">
        <v>1300000</v>
      </c>
      <c r="H26" s="36">
        <f t="shared" si="0"/>
        <v>0</v>
      </c>
      <c r="I26" s="33"/>
      <c r="J26" s="33" t="s">
        <v>658</v>
      </c>
    </row>
    <row r="27" spans="1:10" ht="30" x14ac:dyDescent="0.25">
      <c r="A27" s="33" t="s">
        <v>659</v>
      </c>
      <c r="B27" s="33" t="s">
        <v>660</v>
      </c>
      <c r="C27" s="33" t="s">
        <v>661</v>
      </c>
      <c r="D27" s="33"/>
      <c r="E27" s="33" t="s">
        <v>662</v>
      </c>
      <c r="F27" s="39">
        <v>600000</v>
      </c>
      <c r="G27" s="39"/>
      <c r="H27" s="36">
        <f t="shared" si="0"/>
        <v>600000</v>
      </c>
      <c r="I27" s="33"/>
      <c r="J27" s="33" t="s">
        <v>663</v>
      </c>
    </row>
    <row r="28" spans="1:10" ht="30" x14ac:dyDescent="0.25">
      <c r="A28" s="33" t="s">
        <v>664</v>
      </c>
      <c r="B28" s="33" t="s">
        <v>665</v>
      </c>
      <c r="C28" s="33" t="s">
        <v>666</v>
      </c>
      <c r="D28" s="33" t="s">
        <v>667</v>
      </c>
      <c r="E28" s="33" t="s">
        <v>668</v>
      </c>
      <c r="F28" s="39">
        <v>1250000</v>
      </c>
      <c r="G28" s="39">
        <v>1250000</v>
      </c>
      <c r="H28" s="36">
        <f t="shared" si="0"/>
        <v>0</v>
      </c>
      <c r="I28" s="33"/>
      <c r="J28" s="33" t="s">
        <v>669</v>
      </c>
    </row>
    <row r="29" spans="1:10" ht="30" x14ac:dyDescent="0.25">
      <c r="A29" s="33" t="s">
        <v>670</v>
      </c>
      <c r="B29" s="33" t="s">
        <v>671</v>
      </c>
      <c r="C29" s="33" t="s">
        <v>623</v>
      </c>
      <c r="D29" s="33"/>
      <c r="E29" s="33" t="s">
        <v>672</v>
      </c>
      <c r="F29" s="39">
        <v>70000</v>
      </c>
      <c r="G29" s="39"/>
      <c r="H29" s="36">
        <f t="shared" si="0"/>
        <v>70000</v>
      </c>
      <c r="I29" s="33"/>
      <c r="J29" s="33" t="s">
        <v>673</v>
      </c>
    </row>
    <row r="30" spans="1:10" ht="30" x14ac:dyDescent="0.25">
      <c r="A30" s="33" t="s">
        <v>674</v>
      </c>
      <c r="B30" s="33" t="s">
        <v>671</v>
      </c>
      <c r="C30" s="33" t="s">
        <v>675</v>
      </c>
      <c r="D30" s="33"/>
      <c r="E30" s="33" t="s">
        <v>676</v>
      </c>
      <c r="F30" s="39">
        <v>470000</v>
      </c>
      <c r="G30" s="39">
        <v>470000</v>
      </c>
      <c r="H30" s="36">
        <f t="shared" si="0"/>
        <v>0</v>
      </c>
      <c r="I30" s="33"/>
      <c r="J30" s="33" t="s">
        <v>677</v>
      </c>
    </row>
    <row r="31" spans="1:10" ht="30" x14ac:dyDescent="0.25">
      <c r="A31" s="33" t="s">
        <v>678</v>
      </c>
      <c r="B31" s="33" t="s">
        <v>679</v>
      </c>
      <c r="C31" s="33" t="s">
        <v>680</v>
      </c>
      <c r="D31" s="33"/>
      <c r="E31" s="33" t="s">
        <v>676</v>
      </c>
      <c r="F31" s="39">
        <v>600000</v>
      </c>
      <c r="G31" s="39">
        <v>600000</v>
      </c>
      <c r="H31" s="36">
        <f t="shared" si="0"/>
        <v>0</v>
      </c>
      <c r="I31" s="33"/>
      <c r="J31" s="33" t="s">
        <v>681</v>
      </c>
    </row>
    <row r="32" spans="1:10" ht="30" x14ac:dyDescent="0.25">
      <c r="A32" s="33" t="s">
        <v>682</v>
      </c>
      <c r="B32" s="33" t="s">
        <v>683</v>
      </c>
      <c r="C32" s="33" t="s">
        <v>684</v>
      </c>
      <c r="D32" s="33"/>
      <c r="E32" s="33" t="s">
        <v>676</v>
      </c>
      <c r="F32" s="39">
        <v>480000</v>
      </c>
      <c r="G32" s="39">
        <v>480000</v>
      </c>
      <c r="H32" s="36">
        <f t="shared" si="0"/>
        <v>0</v>
      </c>
      <c r="I32" s="33"/>
      <c r="J32" s="33" t="s">
        <v>685</v>
      </c>
    </row>
    <row r="33" spans="1:10" ht="30" x14ac:dyDescent="0.25">
      <c r="A33" s="33" t="s">
        <v>686</v>
      </c>
      <c r="B33" s="33" t="s">
        <v>687</v>
      </c>
      <c r="C33" s="33" t="s">
        <v>688</v>
      </c>
      <c r="D33" s="33"/>
      <c r="E33" s="33" t="s">
        <v>689</v>
      </c>
      <c r="F33" s="39">
        <v>600000</v>
      </c>
      <c r="G33" s="39"/>
      <c r="H33" s="36">
        <f t="shared" si="0"/>
        <v>600000</v>
      </c>
      <c r="I33" s="33"/>
      <c r="J33" s="33" t="s">
        <v>690</v>
      </c>
    </row>
    <row r="34" spans="1:10" ht="30" x14ac:dyDescent="0.25">
      <c r="A34" s="33" t="s">
        <v>691</v>
      </c>
      <c r="B34" s="33" t="s">
        <v>692</v>
      </c>
      <c r="C34" s="33" t="s">
        <v>693</v>
      </c>
      <c r="D34" s="33"/>
      <c r="E34" s="33" t="s">
        <v>694</v>
      </c>
      <c r="F34" s="39">
        <v>1150000</v>
      </c>
      <c r="G34" s="39">
        <v>1150000</v>
      </c>
      <c r="H34" s="36">
        <f t="shared" ref="H34:H65" si="1">MAX(F34-G34,0)</f>
        <v>0</v>
      </c>
      <c r="I34" s="33"/>
      <c r="J34" s="33" t="s">
        <v>695</v>
      </c>
    </row>
    <row r="35" spans="1:10" ht="30" x14ac:dyDescent="0.25">
      <c r="A35" s="33" t="s">
        <v>696</v>
      </c>
      <c r="B35" s="33" t="s">
        <v>697</v>
      </c>
      <c r="C35" s="33" t="s">
        <v>698</v>
      </c>
      <c r="D35" s="33"/>
      <c r="E35" s="33" t="s">
        <v>699</v>
      </c>
      <c r="F35" s="39">
        <v>2060000</v>
      </c>
      <c r="G35" s="39"/>
      <c r="H35" s="36">
        <f t="shared" si="1"/>
        <v>2060000</v>
      </c>
      <c r="I35" s="33"/>
      <c r="J35" s="33" t="s">
        <v>700</v>
      </c>
    </row>
    <row r="36" spans="1:10" x14ac:dyDescent="0.25">
      <c r="A36" s="33" t="s">
        <v>701</v>
      </c>
      <c r="B36" s="33"/>
      <c r="C36" s="33" t="s">
        <v>702</v>
      </c>
      <c r="D36" s="33"/>
      <c r="E36" s="33" t="s">
        <v>703</v>
      </c>
      <c r="F36" s="39"/>
      <c r="G36" s="39"/>
      <c r="H36" s="36">
        <f t="shared" si="1"/>
        <v>0</v>
      </c>
      <c r="I36" s="33"/>
      <c r="J36" s="33" t="s">
        <v>704</v>
      </c>
    </row>
    <row r="37" spans="1:10" x14ac:dyDescent="0.25">
      <c r="A37" s="33" t="s">
        <v>705</v>
      </c>
      <c r="B37" s="33"/>
      <c r="C37" s="33" t="s">
        <v>706</v>
      </c>
      <c r="D37" s="33"/>
      <c r="E37" s="33" t="s">
        <v>707</v>
      </c>
      <c r="F37" s="39"/>
      <c r="G37" s="39"/>
      <c r="H37" s="36">
        <f t="shared" si="1"/>
        <v>0</v>
      </c>
      <c r="I37" s="33"/>
      <c r="J37" s="33" t="s">
        <v>708</v>
      </c>
    </row>
    <row r="38" spans="1:10" x14ac:dyDescent="0.25">
      <c r="A38" s="33" t="s">
        <v>709</v>
      </c>
      <c r="B38" s="33"/>
      <c r="C38" s="33" t="s">
        <v>710</v>
      </c>
      <c r="D38" s="33"/>
      <c r="E38" s="33" t="s">
        <v>711</v>
      </c>
      <c r="F38" s="39"/>
      <c r="G38" s="39"/>
      <c r="H38" s="36">
        <f t="shared" si="1"/>
        <v>0</v>
      </c>
      <c r="I38" s="33"/>
      <c r="J38" s="33" t="s">
        <v>712</v>
      </c>
    </row>
    <row r="39" spans="1:10" x14ac:dyDescent="0.25">
      <c r="A39" s="33" t="s">
        <v>713</v>
      </c>
      <c r="B39" s="33"/>
      <c r="C39" s="33"/>
      <c r="D39" s="33"/>
      <c r="E39" s="33"/>
      <c r="F39" s="39"/>
      <c r="G39" s="39"/>
      <c r="H39" s="36">
        <f t="shared" si="1"/>
        <v>0</v>
      </c>
      <c r="I39" s="33"/>
      <c r="J39" s="33"/>
    </row>
    <row r="40" spans="1:10" x14ac:dyDescent="0.25">
      <c r="A40" s="33" t="s">
        <v>714</v>
      </c>
      <c r="B40" s="33"/>
      <c r="C40" s="33"/>
      <c r="D40" s="33"/>
      <c r="E40" s="33"/>
      <c r="F40" s="39"/>
      <c r="G40" s="39"/>
      <c r="H40" s="36">
        <f t="shared" si="1"/>
        <v>0</v>
      </c>
      <c r="I40" s="33"/>
      <c r="J40" s="33"/>
    </row>
    <row r="41" spans="1:10" x14ac:dyDescent="0.25">
      <c r="A41" s="33" t="s">
        <v>715</v>
      </c>
      <c r="B41" s="33"/>
      <c r="C41" s="33"/>
      <c r="D41" s="33"/>
      <c r="E41" s="33"/>
      <c r="F41" s="39"/>
      <c r="G41" s="39"/>
      <c r="H41" s="36">
        <f t="shared" si="1"/>
        <v>0</v>
      </c>
      <c r="I41" s="33"/>
      <c r="J41" s="33"/>
    </row>
    <row r="42" spans="1:10" x14ac:dyDescent="0.25">
      <c r="A42" s="33" t="s">
        <v>716</v>
      </c>
      <c r="B42" s="33"/>
      <c r="C42" s="33"/>
      <c r="D42" s="33"/>
      <c r="E42" s="33"/>
      <c r="F42" s="39"/>
      <c r="G42" s="39"/>
      <c r="H42" s="36">
        <f t="shared" si="1"/>
        <v>0</v>
      </c>
      <c r="I42" s="33"/>
      <c r="J42" s="33"/>
    </row>
    <row r="43" spans="1:10" x14ac:dyDescent="0.25">
      <c r="A43" s="33" t="s">
        <v>717</v>
      </c>
      <c r="B43" s="33"/>
      <c r="C43" s="33"/>
      <c r="D43" s="33"/>
      <c r="E43" s="33"/>
      <c r="F43" s="39"/>
      <c r="G43" s="39"/>
      <c r="H43" s="36">
        <f t="shared" si="1"/>
        <v>0</v>
      </c>
      <c r="I43" s="33"/>
      <c r="J43" s="33"/>
    </row>
    <row r="44" spans="1:10" x14ac:dyDescent="0.25">
      <c r="A44" s="33" t="s">
        <v>718</v>
      </c>
      <c r="B44" s="33"/>
      <c r="C44" s="33"/>
      <c r="D44" s="33"/>
      <c r="E44" s="33"/>
      <c r="F44" s="39"/>
      <c r="G44" s="39"/>
      <c r="H44" s="36">
        <f t="shared" si="1"/>
        <v>0</v>
      </c>
      <c r="I44" s="33"/>
      <c r="J44" s="33"/>
    </row>
    <row r="45" spans="1:10" x14ac:dyDescent="0.25">
      <c r="A45" s="33" t="s">
        <v>719</v>
      </c>
      <c r="B45" s="33"/>
      <c r="C45" s="33"/>
      <c r="D45" s="33"/>
      <c r="E45" s="33"/>
      <c r="F45" s="39"/>
      <c r="G45" s="39"/>
      <c r="H45" s="36">
        <f t="shared" si="1"/>
        <v>0</v>
      </c>
      <c r="I45" s="33"/>
      <c r="J45" s="33"/>
    </row>
    <row r="46" spans="1:10" x14ac:dyDescent="0.25">
      <c r="A46" s="33" t="s">
        <v>720</v>
      </c>
      <c r="B46" s="33"/>
      <c r="C46" s="33"/>
      <c r="D46" s="33"/>
      <c r="E46" s="33"/>
      <c r="F46" s="39"/>
      <c r="G46" s="39"/>
      <c r="H46" s="36">
        <f t="shared" si="1"/>
        <v>0</v>
      </c>
      <c r="I46" s="33"/>
      <c r="J46" s="33"/>
    </row>
    <row r="47" spans="1:10" x14ac:dyDescent="0.25">
      <c r="A47" s="33" t="s">
        <v>721</v>
      </c>
      <c r="B47" s="33"/>
      <c r="C47" s="33"/>
      <c r="D47" s="33"/>
      <c r="E47" s="33"/>
      <c r="F47" s="39"/>
      <c r="G47" s="39"/>
      <c r="H47" s="36">
        <f t="shared" si="1"/>
        <v>0</v>
      </c>
      <c r="I47" s="33"/>
      <c r="J47" s="33"/>
    </row>
    <row r="48" spans="1:10" x14ac:dyDescent="0.25">
      <c r="A48" s="33" t="s">
        <v>722</v>
      </c>
      <c r="B48" s="33"/>
      <c r="C48" s="33"/>
      <c r="D48" s="33"/>
      <c r="E48" s="33"/>
      <c r="F48" s="39"/>
      <c r="G48" s="39"/>
      <c r="H48" s="36">
        <f t="shared" si="1"/>
        <v>0</v>
      </c>
      <c r="I48" s="33"/>
      <c r="J48" s="33"/>
    </row>
    <row r="49" spans="1:10" x14ac:dyDescent="0.25">
      <c r="A49" s="33" t="s">
        <v>723</v>
      </c>
      <c r="B49" s="33"/>
      <c r="C49" s="33"/>
      <c r="D49" s="33"/>
      <c r="E49" s="33"/>
      <c r="F49" s="39"/>
      <c r="G49" s="39"/>
      <c r="H49" s="36">
        <f t="shared" si="1"/>
        <v>0</v>
      </c>
      <c r="I49" s="33"/>
      <c r="J49" s="33"/>
    </row>
    <row r="50" spans="1:10" x14ac:dyDescent="0.25">
      <c r="A50" s="33" t="s">
        <v>724</v>
      </c>
      <c r="B50" s="33"/>
      <c r="C50" s="33"/>
      <c r="D50" s="33"/>
      <c r="E50" s="33"/>
      <c r="F50" s="39"/>
      <c r="G50" s="39"/>
      <c r="H50" s="36">
        <f t="shared" si="1"/>
        <v>0</v>
      </c>
      <c r="I50" s="33"/>
      <c r="J50" s="33"/>
    </row>
    <row r="51" spans="1:10" x14ac:dyDescent="0.25">
      <c r="A51" s="33" t="s">
        <v>725</v>
      </c>
      <c r="B51" s="33"/>
      <c r="C51" s="33"/>
      <c r="D51" s="33"/>
      <c r="E51" s="33"/>
      <c r="F51" s="39"/>
      <c r="G51" s="39"/>
      <c r="H51" s="36">
        <f t="shared" si="1"/>
        <v>0</v>
      </c>
      <c r="I51" s="33"/>
      <c r="J51" s="33"/>
    </row>
    <row r="52" spans="1:10" x14ac:dyDescent="0.25">
      <c r="A52" s="33" t="s">
        <v>726</v>
      </c>
      <c r="B52" s="33"/>
      <c r="C52" s="33"/>
      <c r="D52" s="33"/>
      <c r="E52" s="33"/>
      <c r="F52" s="39"/>
      <c r="G52" s="39"/>
      <c r="H52" s="36">
        <f t="shared" si="1"/>
        <v>0</v>
      </c>
      <c r="I52" s="33"/>
      <c r="J52" s="33"/>
    </row>
    <row r="53" spans="1:10" x14ac:dyDescent="0.25">
      <c r="A53" s="33" t="s">
        <v>727</v>
      </c>
      <c r="B53" s="33"/>
      <c r="C53" s="33"/>
      <c r="D53" s="33"/>
      <c r="E53" s="33"/>
      <c r="F53" s="39"/>
      <c r="G53" s="39"/>
      <c r="H53" s="36">
        <f t="shared" si="1"/>
        <v>0</v>
      </c>
      <c r="I53" s="33"/>
      <c r="J53" s="33"/>
    </row>
    <row r="54" spans="1:10" x14ac:dyDescent="0.25">
      <c r="A54" s="33" t="s">
        <v>728</v>
      </c>
      <c r="B54" s="33"/>
      <c r="C54" s="33"/>
      <c r="D54" s="33"/>
      <c r="E54" s="33"/>
      <c r="F54" s="39"/>
      <c r="G54" s="39"/>
      <c r="H54" s="36">
        <f t="shared" si="1"/>
        <v>0</v>
      </c>
      <c r="I54" s="33"/>
      <c r="J54" s="33"/>
    </row>
    <row r="55" spans="1:10" x14ac:dyDescent="0.25">
      <c r="A55" s="33" t="s">
        <v>729</v>
      </c>
      <c r="B55" s="33"/>
      <c r="C55" s="33"/>
      <c r="D55" s="33"/>
      <c r="E55" s="33"/>
      <c r="F55" s="39"/>
      <c r="G55" s="39"/>
      <c r="H55" s="36">
        <f t="shared" si="1"/>
        <v>0</v>
      </c>
      <c r="I55" s="33"/>
      <c r="J55" s="33"/>
    </row>
    <row r="56" spans="1:10" x14ac:dyDescent="0.25">
      <c r="A56" s="33" t="s">
        <v>730</v>
      </c>
      <c r="B56" s="33"/>
      <c r="C56" s="33"/>
      <c r="D56" s="33"/>
      <c r="E56" s="33"/>
      <c r="F56" s="39"/>
      <c r="G56" s="39"/>
      <c r="H56" s="36">
        <f t="shared" si="1"/>
        <v>0</v>
      </c>
      <c r="I56" s="33"/>
      <c r="J56" s="33"/>
    </row>
    <row r="57" spans="1:10" x14ac:dyDescent="0.25">
      <c r="A57" s="33" t="s">
        <v>731</v>
      </c>
      <c r="B57" s="33"/>
      <c r="C57" s="33"/>
      <c r="D57" s="33"/>
      <c r="E57" s="33"/>
      <c r="F57" s="39"/>
      <c r="G57" s="39"/>
      <c r="H57" s="36">
        <f t="shared" si="1"/>
        <v>0</v>
      </c>
      <c r="I57" s="33"/>
      <c r="J57" s="33"/>
    </row>
    <row r="58" spans="1:10" x14ac:dyDescent="0.25">
      <c r="A58" s="33" t="s">
        <v>732</v>
      </c>
      <c r="B58" s="33"/>
      <c r="C58" s="33"/>
      <c r="D58" s="33"/>
      <c r="E58" s="33"/>
      <c r="F58" s="39"/>
      <c r="G58" s="39"/>
      <c r="H58" s="36">
        <f t="shared" si="1"/>
        <v>0</v>
      </c>
      <c r="I58" s="33"/>
      <c r="J58" s="33"/>
    </row>
    <row r="59" spans="1:10" x14ac:dyDescent="0.25">
      <c r="A59" s="33" t="s">
        <v>733</v>
      </c>
      <c r="B59" s="33"/>
      <c r="C59" s="33"/>
      <c r="D59" s="33"/>
      <c r="E59" s="33"/>
      <c r="F59" s="39"/>
      <c r="G59" s="39"/>
      <c r="H59" s="36">
        <f t="shared" si="1"/>
        <v>0</v>
      </c>
      <c r="I59" s="33"/>
      <c r="J59" s="33"/>
    </row>
    <row r="60" spans="1:10" x14ac:dyDescent="0.25">
      <c r="A60" s="33" t="s">
        <v>734</v>
      </c>
      <c r="B60" s="33"/>
      <c r="C60" s="33"/>
      <c r="D60" s="33"/>
      <c r="E60" s="33"/>
      <c r="F60" s="39"/>
      <c r="G60" s="39"/>
      <c r="H60" s="36">
        <f t="shared" si="1"/>
        <v>0</v>
      </c>
      <c r="I60" s="33"/>
      <c r="J60" s="33"/>
    </row>
    <row r="61" spans="1:10" x14ac:dyDescent="0.25">
      <c r="A61" s="33" t="s">
        <v>735</v>
      </c>
      <c r="B61" s="33"/>
      <c r="C61" s="33"/>
      <c r="D61" s="33"/>
      <c r="E61" s="33"/>
      <c r="F61" s="39"/>
      <c r="G61" s="39"/>
      <c r="H61" s="36">
        <f t="shared" si="1"/>
        <v>0</v>
      </c>
      <c r="I61" s="33"/>
      <c r="J61" s="33"/>
    </row>
    <row r="62" spans="1:10" x14ac:dyDescent="0.25">
      <c r="A62" s="33" t="s">
        <v>736</v>
      </c>
      <c r="B62" s="33"/>
      <c r="C62" s="33"/>
      <c r="D62" s="33"/>
      <c r="E62" s="33"/>
      <c r="F62" s="39"/>
      <c r="G62" s="39"/>
      <c r="H62" s="36">
        <f t="shared" si="1"/>
        <v>0</v>
      </c>
      <c r="I62" s="33"/>
      <c r="J62" s="33"/>
    </row>
    <row r="63" spans="1:10" x14ac:dyDescent="0.25">
      <c r="A63" s="33" t="s">
        <v>737</v>
      </c>
      <c r="B63" s="33"/>
      <c r="C63" s="33"/>
      <c r="D63" s="33"/>
      <c r="E63" s="33"/>
      <c r="F63" s="39"/>
      <c r="G63" s="39"/>
      <c r="H63" s="36">
        <f t="shared" si="1"/>
        <v>0</v>
      </c>
      <c r="I63" s="33"/>
      <c r="J63" s="33"/>
    </row>
    <row r="64" spans="1:10" x14ac:dyDescent="0.25">
      <c r="A64" s="33" t="s">
        <v>738</v>
      </c>
      <c r="B64" s="33"/>
      <c r="C64" s="33"/>
      <c r="D64" s="33"/>
      <c r="E64" s="33"/>
      <c r="F64" s="39"/>
      <c r="G64" s="39"/>
      <c r="H64" s="36">
        <f t="shared" si="1"/>
        <v>0</v>
      </c>
      <c r="I64" s="33"/>
      <c r="J64" s="33"/>
    </row>
    <row r="65" spans="1:10" x14ac:dyDescent="0.25">
      <c r="A65" s="33" t="s">
        <v>739</v>
      </c>
      <c r="B65" s="33"/>
      <c r="C65" s="33"/>
      <c r="D65" s="33"/>
      <c r="E65" s="33"/>
      <c r="F65" s="39"/>
      <c r="G65" s="39"/>
      <c r="H65" s="36">
        <f t="shared" si="1"/>
        <v>0</v>
      </c>
      <c r="I65" s="33"/>
      <c r="J65" s="33"/>
    </row>
    <row r="66" spans="1:10" x14ac:dyDescent="0.25">
      <c r="A66" s="33" t="s">
        <v>740</v>
      </c>
      <c r="B66" s="33"/>
      <c r="C66" s="33"/>
      <c r="D66" s="33"/>
      <c r="E66" s="33"/>
      <c r="F66" s="39"/>
      <c r="G66" s="39"/>
      <c r="H66" s="36">
        <f t="shared" ref="H66:H97" si="2">MAX(F66-G66,0)</f>
        <v>0</v>
      </c>
      <c r="I66" s="33"/>
      <c r="J66" s="33"/>
    </row>
    <row r="67" spans="1:10" x14ac:dyDescent="0.25">
      <c r="A67" s="33" t="s">
        <v>741</v>
      </c>
      <c r="B67" s="33"/>
      <c r="C67" s="33"/>
      <c r="D67" s="33"/>
      <c r="E67" s="33"/>
      <c r="F67" s="39"/>
      <c r="G67" s="39"/>
      <c r="H67" s="36">
        <f t="shared" si="2"/>
        <v>0</v>
      </c>
      <c r="I67" s="33"/>
      <c r="J67" s="33"/>
    </row>
    <row r="68" spans="1:10" x14ac:dyDescent="0.25">
      <c r="A68" s="33" t="s">
        <v>742</v>
      </c>
      <c r="B68" s="33"/>
      <c r="C68" s="33"/>
      <c r="D68" s="33"/>
      <c r="E68" s="33"/>
      <c r="F68" s="39"/>
      <c r="G68" s="39"/>
      <c r="H68" s="36">
        <f t="shared" si="2"/>
        <v>0</v>
      </c>
      <c r="I68" s="33"/>
      <c r="J68" s="33"/>
    </row>
    <row r="69" spans="1:10" x14ac:dyDescent="0.25">
      <c r="A69" s="33" t="s">
        <v>743</v>
      </c>
      <c r="B69" s="33"/>
      <c r="C69" s="33"/>
      <c r="D69" s="33"/>
      <c r="E69" s="33"/>
      <c r="F69" s="39"/>
      <c r="G69" s="39"/>
      <c r="H69" s="36">
        <f t="shared" si="2"/>
        <v>0</v>
      </c>
      <c r="I69" s="33"/>
      <c r="J69" s="33"/>
    </row>
    <row r="70" spans="1:10" x14ac:dyDescent="0.25">
      <c r="A70" s="33" t="s">
        <v>744</v>
      </c>
      <c r="B70" s="33"/>
      <c r="C70" s="33"/>
      <c r="D70" s="33"/>
      <c r="E70" s="33"/>
      <c r="F70" s="39"/>
      <c r="G70" s="39"/>
      <c r="H70" s="36">
        <f t="shared" si="2"/>
        <v>0</v>
      </c>
      <c r="I70" s="33"/>
      <c r="J70" s="33"/>
    </row>
    <row r="71" spans="1:10" x14ac:dyDescent="0.25">
      <c r="A71" s="33" t="s">
        <v>745</v>
      </c>
      <c r="B71" s="33"/>
      <c r="C71" s="33"/>
      <c r="D71" s="33"/>
      <c r="E71" s="33"/>
      <c r="F71" s="39"/>
      <c r="G71" s="39"/>
      <c r="H71" s="36">
        <f t="shared" si="2"/>
        <v>0</v>
      </c>
      <c r="I71" s="33"/>
      <c r="J71" s="33"/>
    </row>
    <row r="72" spans="1:10" x14ac:dyDescent="0.25">
      <c r="A72" s="33" t="s">
        <v>746</v>
      </c>
      <c r="B72" s="33"/>
      <c r="C72" s="33"/>
      <c r="D72" s="33"/>
      <c r="E72" s="33"/>
      <c r="F72" s="39"/>
      <c r="G72" s="39"/>
      <c r="H72" s="36">
        <f t="shared" si="2"/>
        <v>0</v>
      </c>
      <c r="I72" s="33"/>
      <c r="J72" s="33"/>
    </row>
    <row r="73" spans="1:10" x14ac:dyDescent="0.25">
      <c r="A73" s="33" t="s">
        <v>747</v>
      </c>
      <c r="B73" s="33"/>
      <c r="C73" s="33"/>
      <c r="D73" s="33"/>
      <c r="E73" s="33"/>
      <c r="F73" s="39"/>
      <c r="G73" s="39"/>
      <c r="H73" s="36">
        <f t="shared" si="2"/>
        <v>0</v>
      </c>
      <c r="I73" s="33"/>
      <c r="J73" s="33"/>
    </row>
    <row r="74" spans="1:10" x14ac:dyDescent="0.25">
      <c r="A74" s="33" t="s">
        <v>748</v>
      </c>
      <c r="B74" s="33"/>
      <c r="C74" s="33"/>
      <c r="D74" s="33"/>
      <c r="E74" s="33"/>
      <c r="F74" s="39"/>
      <c r="G74" s="39"/>
      <c r="H74" s="36">
        <f t="shared" si="2"/>
        <v>0</v>
      </c>
      <c r="I74" s="33"/>
      <c r="J74" s="33"/>
    </row>
    <row r="75" spans="1:10" x14ac:dyDescent="0.25">
      <c r="A75" s="33" t="s">
        <v>749</v>
      </c>
      <c r="B75" s="33"/>
      <c r="C75" s="33"/>
      <c r="D75" s="33"/>
      <c r="E75" s="33"/>
      <c r="F75" s="39"/>
      <c r="G75" s="39"/>
      <c r="H75" s="36">
        <f t="shared" si="2"/>
        <v>0</v>
      </c>
      <c r="I75" s="33"/>
      <c r="J75" s="33"/>
    </row>
    <row r="76" spans="1:10" x14ac:dyDescent="0.25">
      <c r="A76" s="33" t="s">
        <v>750</v>
      </c>
      <c r="B76" s="33"/>
      <c r="C76" s="33"/>
      <c r="D76" s="33"/>
      <c r="E76" s="33"/>
      <c r="F76" s="39"/>
      <c r="G76" s="39"/>
      <c r="H76" s="36">
        <f t="shared" si="2"/>
        <v>0</v>
      </c>
      <c r="I76" s="33"/>
      <c r="J76" s="33"/>
    </row>
    <row r="77" spans="1:10" x14ac:dyDescent="0.25">
      <c r="A77" s="33" t="s">
        <v>751</v>
      </c>
      <c r="B77" s="33"/>
      <c r="C77" s="33"/>
      <c r="D77" s="33"/>
      <c r="E77" s="33"/>
      <c r="F77" s="39"/>
      <c r="G77" s="39"/>
      <c r="H77" s="36">
        <f t="shared" si="2"/>
        <v>0</v>
      </c>
      <c r="I77" s="33"/>
      <c r="J77" s="33"/>
    </row>
    <row r="78" spans="1:10" x14ac:dyDescent="0.25">
      <c r="A78" s="33" t="s">
        <v>752</v>
      </c>
      <c r="B78" s="33"/>
      <c r="C78" s="33"/>
      <c r="D78" s="33"/>
      <c r="E78" s="33"/>
      <c r="F78" s="39"/>
      <c r="G78" s="39"/>
      <c r="H78" s="36">
        <f t="shared" si="2"/>
        <v>0</v>
      </c>
      <c r="I78" s="33"/>
      <c r="J78" s="33"/>
    </row>
    <row r="79" spans="1:10" x14ac:dyDescent="0.25">
      <c r="A79" s="33" t="s">
        <v>753</v>
      </c>
      <c r="B79" s="33"/>
      <c r="C79" s="33"/>
      <c r="D79" s="33"/>
      <c r="E79" s="33"/>
      <c r="F79" s="39"/>
      <c r="G79" s="39"/>
      <c r="H79" s="36">
        <f t="shared" si="2"/>
        <v>0</v>
      </c>
      <c r="I79" s="33"/>
      <c r="J79" s="33"/>
    </row>
    <row r="80" spans="1:10" x14ac:dyDescent="0.25">
      <c r="A80" s="33" t="s">
        <v>754</v>
      </c>
      <c r="B80" s="33"/>
      <c r="C80" s="33"/>
      <c r="D80" s="33"/>
      <c r="E80" s="33"/>
      <c r="F80" s="39"/>
      <c r="G80" s="39"/>
      <c r="H80" s="36">
        <f t="shared" si="2"/>
        <v>0</v>
      </c>
      <c r="I80" s="33"/>
      <c r="J80" s="33"/>
    </row>
    <row r="81" spans="1:10" x14ac:dyDescent="0.25">
      <c r="A81" s="33" t="s">
        <v>755</v>
      </c>
      <c r="B81" s="33"/>
      <c r="C81" s="33"/>
      <c r="D81" s="33"/>
      <c r="E81" s="33"/>
      <c r="F81" s="39"/>
      <c r="G81" s="39"/>
      <c r="H81" s="36">
        <f t="shared" si="2"/>
        <v>0</v>
      </c>
      <c r="I81" s="33"/>
      <c r="J81" s="33"/>
    </row>
    <row r="82" spans="1:10" x14ac:dyDescent="0.25">
      <c r="A82" s="33" t="s">
        <v>756</v>
      </c>
      <c r="B82" s="33"/>
      <c r="C82" s="33"/>
      <c r="D82" s="33"/>
      <c r="E82" s="33"/>
      <c r="F82" s="39"/>
      <c r="G82" s="39"/>
      <c r="H82" s="36">
        <f t="shared" si="2"/>
        <v>0</v>
      </c>
      <c r="I82" s="33"/>
      <c r="J82" s="33"/>
    </row>
    <row r="83" spans="1:10" x14ac:dyDescent="0.25">
      <c r="A83" s="33" t="s">
        <v>757</v>
      </c>
      <c r="B83" s="33"/>
      <c r="C83" s="33"/>
      <c r="D83" s="33"/>
      <c r="E83" s="33"/>
      <c r="F83" s="39"/>
      <c r="G83" s="39"/>
      <c r="H83" s="36">
        <f t="shared" si="2"/>
        <v>0</v>
      </c>
      <c r="I83" s="33"/>
      <c r="J83" s="33"/>
    </row>
    <row r="84" spans="1:10" x14ac:dyDescent="0.25">
      <c r="A84" s="33" t="s">
        <v>758</v>
      </c>
      <c r="B84" s="33"/>
      <c r="C84" s="33"/>
      <c r="D84" s="33"/>
      <c r="E84" s="33"/>
      <c r="F84" s="39"/>
      <c r="G84" s="39"/>
      <c r="H84" s="36">
        <f t="shared" si="2"/>
        <v>0</v>
      </c>
      <c r="I84" s="33"/>
      <c r="J84" s="33"/>
    </row>
    <row r="85" spans="1:10" x14ac:dyDescent="0.25">
      <c r="A85" s="33" t="s">
        <v>759</v>
      </c>
      <c r="B85" s="33"/>
      <c r="C85" s="33"/>
      <c r="D85" s="33"/>
      <c r="E85" s="33"/>
      <c r="F85" s="39"/>
      <c r="G85" s="39"/>
      <c r="H85" s="36">
        <f t="shared" si="2"/>
        <v>0</v>
      </c>
      <c r="I85" s="33"/>
      <c r="J85" s="33"/>
    </row>
    <row r="86" spans="1:10" x14ac:dyDescent="0.25">
      <c r="A86" s="33" t="s">
        <v>760</v>
      </c>
      <c r="B86" s="33"/>
      <c r="C86" s="33"/>
      <c r="D86" s="33"/>
      <c r="E86" s="33"/>
      <c r="F86" s="39"/>
      <c r="G86" s="39"/>
      <c r="H86" s="36">
        <f t="shared" si="2"/>
        <v>0</v>
      </c>
      <c r="I86" s="33"/>
      <c r="J86" s="33"/>
    </row>
    <row r="87" spans="1:10" x14ac:dyDescent="0.25">
      <c r="A87" s="33" t="s">
        <v>761</v>
      </c>
      <c r="B87" s="33"/>
      <c r="C87" s="33"/>
      <c r="D87" s="33"/>
      <c r="E87" s="33"/>
      <c r="F87" s="39"/>
      <c r="G87" s="39"/>
      <c r="H87" s="36">
        <f t="shared" si="2"/>
        <v>0</v>
      </c>
      <c r="I87" s="33"/>
      <c r="J87" s="33"/>
    </row>
    <row r="88" spans="1:10" x14ac:dyDescent="0.25">
      <c r="A88" s="33" t="s">
        <v>762</v>
      </c>
      <c r="B88" s="33"/>
      <c r="C88" s="33"/>
      <c r="D88" s="33"/>
      <c r="E88" s="33"/>
      <c r="F88" s="39"/>
      <c r="G88" s="39"/>
      <c r="H88" s="36">
        <f t="shared" si="2"/>
        <v>0</v>
      </c>
      <c r="I88" s="33"/>
      <c r="J88" s="33"/>
    </row>
    <row r="89" spans="1:10" x14ac:dyDescent="0.25">
      <c r="A89" s="33" t="s">
        <v>763</v>
      </c>
      <c r="B89" s="33"/>
      <c r="C89" s="33"/>
      <c r="D89" s="33"/>
      <c r="E89" s="33"/>
      <c r="F89" s="39"/>
      <c r="G89" s="39"/>
      <c r="H89" s="36">
        <f t="shared" si="2"/>
        <v>0</v>
      </c>
      <c r="I89" s="33"/>
      <c r="J89" s="33"/>
    </row>
    <row r="90" spans="1:10" x14ac:dyDescent="0.25">
      <c r="A90" s="33" t="s">
        <v>764</v>
      </c>
      <c r="B90" s="33"/>
      <c r="C90" s="33"/>
      <c r="D90" s="33"/>
      <c r="E90" s="33"/>
      <c r="F90" s="39"/>
      <c r="G90" s="39"/>
      <c r="H90" s="36">
        <f t="shared" si="2"/>
        <v>0</v>
      </c>
      <c r="I90" s="33"/>
      <c r="J90" s="33"/>
    </row>
    <row r="91" spans="1:10" x14ac:dyDescent="0.25">
      <c r="A91" s="33" t="s">
        <v>765</v>
      </c>
      <c r="B91" s="33"/>
      <c r="C91" s="33"/>
      <c r="D91" s="33"/>
      <c r="E91" s="33"/>
      <c r="F91" s="39"/>
      <c r="G91" s="39"/>
      <c r="H91" s="36">
        <f t="shared" si="2"/>
        <v>0</v>
      </c>
      <c r="I91" s="33"/>
      <c r="J91" s="33"/>
    </row>
    <row r="92" spans="1:10" x14ac:dyDescent="0.25">
      <c r="A92" s="33" t="s">
        <v>766</v>
      </c>
      <c r="B92" s="33"/>
      <c r="C92" s="33"/>
      <c r="D92" s="33"/>
      <c r="E92" s="33"/>
      <c r="F92" s="39"/>
      <c r="G92" s="39"/>
      <c r="H92" s="36">
        <f t="shared" si="2"/>
        <v>0</v>
      </c>
      <c r="I92" s="33"/>
      <c r="J92" s="33"/>
    </row>
    <row r="93" spans="1:10" x14ac:dyDescent="0.25">
      <c r="A93" s="33" t="s">
        <v>767</v>
      </c>
      <c r="B93" s="33"/>
      <c r="C93" s="33"/>
      <c r="D93" s="33"/>
      <c r="E93" s="33"/>
      <c r="F93" s="39"/>
      <c r="G93" s="39"/>
      <c r="H93" s="36">
        <f t="shared" si="2"/>
        <v>0</v>
      </c>
      <c r="I93" s="33"/>
      <c r="J93" s="33"/>
    </row>
    <row r="94" spans="1:10" x14ac:dyDescent="0.25">
      <c r="A94" s="33" t="s">
        <v>768</v>
      </c>
      <c r="B94" s="33"/>
      <c r="C94" s="33"/>
      <c r="D94" s="33"/>
      <c r="E94" s="33"/>
      <c r="F94" s="39"/>
      <c r="G94" s="39"/>
      <c r="H94" s="36">
        <f t="shared" si="2"/>
        <v>0</v>
      </c>
      <c r="I94" s="33"/>
      <c r="J94" s="33"/>
    </row>
    <row r="95" spans="1:10" x14ac:dyDescent="0.25">
      <c r="A95" s="33" t="s">
        <v>769</v>
      </c>
      <c r="B95" s="33"/>
      <c r="C95" s="33"/>
      <c r="D95" s="33"/>
      <c r="E95" s="33"/>
      <c r="F95" s="39"/>
      <c r="G95" s="39"/>
      <c r="H95" s="36">
        <f t="shared" si="2"/>
        <v>0</v>
      </c>
      <c r="I95" s="33"/>
      <c r="J95" s="33"/>
    </row>
    <row r="96" spans="1:10" x14ac:dyDescent="0.25">
      <c r="A96" s="33" t="s">
        <v>770</v>
      </c>
      <c r="B96" s="33"/>
      <c r="C96" s="33"/>
      <c r="D96" s="33"/>
      <c r="E96" s="33"/>
      <c r="F96" s="39"/>
      <c r="G96" s="39"/>
      <c r="H96" s="36">
        <f t="shared" si="2"/>
        <v>0</v>
      </c>
      <c r="I96" s="33"/>
      <c r="J96" s="33"/>
    </row>
    <row r="97" spans="1:10" x14ac:dyDescent="0.25">
      <c r="A97" s="33" t="s">
        <v>771</v>
      </c>
      <c r="B97" s="33"/>
      <c r="C97" s="33"/>
      <c r="D97" s="33"/>
      <c r="E97" s="33"/>
      <c r="F97" s="39"/>
      <c r="G97" s="39"/>
      <c r="H97" s="36">
        <f t="shared" si="2"/>
        <v>0</v>
      </c>
      <c r="I97" s="33"/>
      <c r="J97" s="33"/>
    </row>
    <row r="98" spans="1:10" x14ac:dyDescent="0.25">
      <c r="A98" s="33" t="s">
        <v>772</v>
      </c>
      <c r="B98" s="33"/>
      <c r="C98" s="33"/>
      <c r="D98" s="33"/>
      <c r="E98" s="33"/>
      <c r="F98" s="39"/>
      <c r="G98" s="39"/>
      <c r="H98" s="36">
        <f t="shared" ref="H98:H129" si="3">MAX(F98-G98,0)</f>
        <v>0</v>
      </c>
      <c r="I98" s="33"/>
      <c r="J98" s="33"/>
    </row>
    <row r="99" spans="1:10" x14ac:dyDescent="0.25">
      <c r="A99" s="33" t="s">
        <v>773</v>
      </c>
      <c r="B99" s="33"/>
      <c r="C99" s="33"/>
      <c r="D99" s="33"/>
      <c r="E99" s="33"/>
      <c r="F99" s="39"/>
      <c r="G99" s="39"/>
      <c r="H99" s="36">
        <f t="shared" si="3"/>
        <v>0</v>
      </c>
      <c r="I99" s="33"/>
      <c r="J99" s="33"/>
    </row>
    <row r="100" spans="1:10" x14ac:dyDescent="0.25">
      <c r="A100" s="33" t="s">
        <v>774</v>
      </c>
      <c r="B100" s="33"/>
      <c r="C100" s="33"/>
      <c r="D100" s="33"/>
      <c r="E100" s="33"/>
      <c r="F100" s="39"/>
      <c r="G100" s="39"/>
      <c r="H100" s="36">
        <f t="shared" si="3"/>
        <v>0</v>
      </c>
      <c r="I100" s="33"/>
      <c r="J100" s="33"/>
    </row>
    <row r="101" spans="1:10" x14ac:dyDescent="0.25">
      <c r="A101" s="33" t="s">
        <v>775</v>
      </c>
      <c r="B101" s="33"/>
      <c r="C101" s="33"/>
      <c r="D101" s="33"/>
      <c r="E101" s="33"/>
      <c r="F101" s="39"/>
      <c r="G101" s="39"/>
      <c r="H101" s="36">
        <f t="shared" si="3"/>
        <v>0</v>
      </c>
      <c r="I101" s="33"/>
      <c r="J101" s="33"/>
    </row>
    <row r="102" spans="1:10" x14ac:dyDescent="0.25">
      <c r="A102" s="33" t="s">
        <v>776</v>
      </c>
      <c r="B102" s="33"/>
      <c r="C102" s="33"/>
      <c r="D102" s="33"/>
      <c r="E102" s="33"/>
      <c r="F102" s="39"/>
      <c r="G102" s="39"/>
      <c r="H102" s="36">
        <f t="shared" si="3"/>
        <v>0</v>
      </c>
      <c r="I102" s="33"/>
      <c r="J102" s="33"/>
    </row>
    <row r="103" spans="1:10" x14ac:dyDescent="0.25">
      <c r="A103" s="33" t="s">
        <v>777</v>
      </c>
      <c r="B103" s="33"/>
      <c r="C103" s="33"/>
      <c r="D103" s="33"/>
      <c r="E103" s="33"/>
      <c r="F103" s="39"/>
      <c r="G103" s="39"/>
      <c r="H103" s="36">
        <f t="shared" si="3"/>
        <v>0</v>
      </c>
      <c r="I103" s="33"/>
      <c r="J103" s="33"/>
    </row>
    <row r="104" spans="1:10" x14ac:dyDescent="0.25">
      <c r="A104" s="33" t="s">
        <v>778</v>
      </c>
      <c r="B104" s="33"/>
      <c r="C104" s="33"/>
      <c r="D104" s="33"/>
      <c r="E104" s="33"/>
      <c r="F104" s="39"/>
      <c r="G104" s="39"/>
      <c r="H104" s="36">
        <f t="shared" si="3"/>
        <v>0</v>
      </c>
      <c r="I104" s="33"/>
      <c r="J104" s="33"/>
    </row>
    <row r="105" spans="1:10" x14ac:dyDescent="0.25">
      <c r="A105" s="33" t="s">
        <v>779</v>
      </c>
      <c r="B105" s="33"/>
      <c r="C105" s="33"/>
      <c r="D105" s="33"/>
      <c r="E105" s="33"/>
      <c r="F105" s="39"/>
      <c r="G105" s="39"/>
      <c r="H105" s="36">
        <f t="shared" si="3"/>
        <v>0</v>
      </c>
      <c r="I105" s="33"/>
      <c r="J105" s="33"/>
    </row>
    <row r="106" spans="1:10" x14ac:dyDescent="0.25">
      <c r="A106" s="33" t="s">
        <v>780</v>
      </c>
      <c r="B106" s="33"/>
      <c r="C106" s="33"/>
      <c r="D106" s="33"/>
      <c r="E106" s="33"/>
      <c r="F106" s="39"/>
      <c r="G106" s="39"/>
      <c r="H106" s="36">
        <f t="shared" si="3"/>
        <v>0</v>
      </c>
      <c r="I106" s="33"/>
      <c r="J106" s="33"/>
    </row>
    <row r="107" spans="1:10" x14ac:dyDescent="0.25">
      <c r="A107" s="33" t="s">
        <v>781</v>
      </c>
      <c r="B107" s="33"/>
      <c r="C107" s="33"/>
      <c r="D107" s="33"/>
      <c r="E107" s="33"/>
      <c r="F107" s="39"/>
      <c r="G107" s="39"/>
      <c r="H107" s="36">
        <f t="shared" si="3"/>
        <v>0</v>
      </c>
      <c r="I107" s="33"/>
      <c r="J107" s="33"/>
    </row>
    <row r="108" spans="1:10" x14ac:dyDescent="0.25">
      <c r="A108" s="33" t="s">
        <v>782</v>
      </c>
      <c r="B108" s="33"/>
      <c r="C108" s="33"/>
      <c r="D108" s="33"/>
      <c r="E108" s="33"/>
      <c r="F108" s="39"/>
      <c r="G108" s="39"/>
      <c r="H108" s="36">
        <f t="shared" si="3"/>
        <v>0</v>
      </c>
      <c r="I108" s="33"/>
      <c r="J108" s="33"/>
    </row>
    <row r="109" spans="1:10" x14ac:dyDescent="0.25">
      <c r="A109" s="33" t="s">
        <v>783</v>
      </c>
      <c r="B109" s="33"/>
      <c r="C109" s="33"/>
      <c r="D109" s="33"/>
      <c r="E109" s="33"/>
      <c r="F109" s="39"/>
      <c r="G109" s="39"/>
      <c r="H109" s="36">
        <f t="shared" si="3"/>
        <v>0</v>
      </c>
      <c r="I109" s="33"/>
      <c r="J109" s="33"/>
    </row>
    <row r="110" spans="1:10" x14ac:dyDescent="0.25">
      <c r="A110" s="33" t="s">
        <v>784</v>
      </c>
      <c r="B110" s="33"/>
      <c r="C110" s="33"/>
      <c r="D110" s="33"/>
      <c r="E110" s="33"/>
      <c r="F110" s="39"/>
      <c r="G110" s="39"/>
      <c r="H110" s="36">
        <f t="shared" si="3"/>
        <v>0</v>
      </c>
      <c r="I110" s="33"/>
      <c r="J110" s="33"/>
    </row>
    <row r="111" spans="1:10" x14ac:dyDescent="0.25">
      <c r="A111" s="33" t="s">
        <v>785</v>
      </c>
      <c r="B111" s="33"/>
      <c r="C111" s="33"/>
      <c r="D111" s="33"/>
      <c r="E111" s="33"/>
      <c r="F111" s="39"/>
      <c r="G111" s="39"/>
      <c r="H111" s="36">
        <f t="shared" si="3"/>
        <v>0</v>
      </c>
      <c r="I111" s="33"/>
      <c r="J111" s="33"/>
    </row>
    <row r="112" spans="1:10" x14ac:dyDescent="0.25">
      <c r="A112" s="33" t="s">
        <v>786</v>
      </c>
      <c r="B112" s="33"/>
      <c r="C112" s="33"/>
      <c r="D112" s="33"/>
      <c r="E112" s="33"/>
      <c r="F112" s="39"/>
      <c r="G112" s="39"/>
      <c r="H112" s="36">
        <f t="shared" si="3"/>
        <v>0</v>
      </c>
      <c r="I112" s="33"/>
      <c r="J112" s="33"/>
    </row>
    <row r="113" spans="1:10" x14ac:dyDescent="0.25">
      <c r="A113" s="33" t="s">
        <v>787</v>
      </c>
      <c r="B113" s="33"/>
      <c r="C113" s="33"/>
      <c r="D113" s="33"/>
      <c r="E113" s="33"/>
      <c r="F113" s="39"/>
      <c r="G113" s="39"/>
      <c r="H113" s="36">
        <f t="shared" si="3"/>
        <v>0</v>
      </c>
      <c r="I113" s="33"/>
      <c r="J113" s="33"/>
    </row>
    <row r="114" spans="1:10" x14ac:dyDescent="0.25">
      <c r="A114" s="33" t="s">
        <v>788</v>
      </c>
      <c r="B114" s="33"/>
      <c r="C114" s="33"/>
      <c r="D114" s="33"/>
      <c r="E114" s="33"/>
      <c r="F114" s="39"/>
      <c r="G114" s="39"/>
      <c r="H114" s="36">
        <f t="shared" si="3"/>
        <v>0</v>
      </c>
      <c r="I114" s="33"/>
      <c r="J114" s="33"/>
    </row>
    <row r="115" spans="1:10" x14ac:dyDescent="0.25">
      <c r="A115" s="33" t="s">
        <v>789</v>
      </c>
      <c r="B115" s="33"/>
      <c r="C115" s="33"/>
      <c r="D115" s="33"/>
      <c r="E115" s="33"/>
      <c r="F115" s="39"/>
      <c r="G115" s="39"/>
      <c r="H115" s="36">
        <f t="shared" si="3"/>
        <v>0</v>
      </c>
      <c r="I115" s="33"/>
      <c r="J115" s="33"/>
    </row>
    <row r="116" spans="1:10" x14ac:dyDescent="0.25">
      <c r="A116" s="33" t="s">
        <v>790</v>
      </c>
      <c r="B116" s="33"/>
      <c r="C116" s="33"/>
      <c r="D116" s="33"/>
      <c r="E116" s="33"/>
      <c r="F116" s="39"/>
      <c r="G116" s="39"/>
      <c r="H116" s="36">
        <f t="shared" si="3"/>
        <v>0</v>
      </c>
      <c r="I116" s="33"/>
      <c r="J116" s="33"/>
    </row>
    <row r="117" spans="1:10" x14ac:dyDescent="0.25">
      <c r="A117" s="33" t="s">
        <v>791</v>
      </c>
      <c r="B117" s="33"/>
      <c r="C117" s="33"/>
      <c r="D117" s="33"/>
      <c r="E117" s="33"/>
      <c r="F117" s="39"/>
      <c r="G117" s="39"/>
      <c r="H117" s="36">
        <f t="shared" si="3"/>
        <v>0</v>
      </c>
      <c r="I117" s="33"/>
      <c r="J117" s="33"/>
    </row>
    <row r="118" spans="1:10" x14ac:dyDescent="0.25">
      <c r="A118" s="33" t="s">
        <v>792</v>
      </c>
      <c r="B118" s="33"/>
      <c r="C118" s="33"/>
      <c r="D118" s="33"/>
      <c r="E118" s="33"/>
      <c r="F118" s="39"/>
      <c r="G118" s="39"/>
      <c r="H118" s="36">
        <f t="shared" si="3"/>
        <v>0</v>
      </c>
      <c r="I118" s="33"/>
      <c r="J118" s="33"/>
    </row>
    <row r="119" spans="1:10" x14ac:dyDescent="0.25">
      <c r="A119" s="33" t="s">
        <v>793</v>
      </c>
      <c r="B119" s="33"/>
      <c r="C119" s="33"/>
      <c r="D119" s="33"/>
      <c r="E119" s="33"/>
      <c r="F119" s="39"/>
      <c r="G119" s="39"/>
      <c r="H119" s="36">
        <f t="shared" si="3"/>
        <v>0</v>
      </c>
      <c r="I119" s="33"/>
      <c r="J119" s="33"/>
    </row>
    <row r="120" spans="1:10" x14ac:dyDescent="0.25">
      <c r="A120" s="33" t="s">
        <v>794</v>
      </c>
      <c r="B120" s="33"/>
      <c r="C120" s="33"/>
      <c r="D120" s="33"/>
      <c r="E120" s="33"/>
      <c r="F120" s="39"/>
      <c r="G120" s="39"/>
      <c r="H120" s="36">
        <f t="shared" si="3"/>
        <v>0</v>
      </c>
      <c r="I120" s="33"/>
      <c r="J120" s="33"/>
    </row>
    <row r="121" spans="1:10" x14ac:dyDescent="0.25">
      <c r="A121" s="33" t="s">
        <v>795</v>
      </c>
      <c r="B121" s="33"/>
      <c r="C121" s="33"/>
      <c r="D121" s="33"/>
      <c r="E121" s="33"/>
      <c r="F121" s="39"/>
      <c r="G121" s="39"/>
      <c r="H121" s="36">
        <f t="shared" si="3"/>
        <v>0</v>
      </c>
      <c r="I121" s="33"/>
      <c r="J121" s="33"/>
    </row>
    <row r="122" spans="1:10" x14ac:dyDescent="0.25">
      <c r="A122" s="33" t="s">
        <v>796</v>
      </c>
      <c r="B122" s="33"/>
      <c r="C122" s="33"/>
      <c r="D122" s="33"/>
      <c r="E122" s="33"/>
      <c r="F122" s="39"/>
      <c r="G122" s="39"/>
      <c r="H122" s="36">
        <f t="shared" si="3"/>
        <v>0</v>
      </c>
      <c r="I122" s="33"/>
      <c r="J122" s="33"/>
    </row>
    <row r="123" spans="1:10" x14ac:dyDescent="0.25">
      <c r="A123" s="33" t="s">
        <v>797</v>
      </c>
      <c r="B123" s="33"/>
      <c r="C123" s="33"/>
      <c r="D123" s="33"/>
      <c r="E123" s="33"/>
      <c r="F123" s="39"/>
      <c r="G123" s="39"/>
      <c r="H123" s="36">
        <f t="shared" si="3"/>
        <v>0</v>
      </c>
      <c r="I123" s="33"/>
      <c r="J123" s="33"/>
    </row>
    <row r="124" spans="1:10" x14ac:dyDescent="0.25">
      <c r="A124" s="33" t="s">
        <v>798</v>
      </c>
      <c r="B124" s="33"/>
      <c r="C124" s="33"/>
      <c r="D124" s="33"/>
      <c r="E124" s="33"/>
      <c r="F124" s="39"/>
      <c r="G124" s="39"/>
      <c r="H124" s="36">
        <f t="shared" si="3"/>
        <v>0</v>
      </c>
      <c r="I124" s="33"/>
      <c r="J124" s="33"/>
    </row>
    <row r="125" spans="1:10" x14ac:dyDescent="0.25">
      <c r="A125" s="33" t="s">
        <v>799</v>
      </c>
      <c r="B125" s="33"/>
      <c r="C125" s="33"/>
      <c r="D125" s="33"/>
      <c r="E125" s="33"/>
      <c r="F125" s="39"/>
      <c r="G125" s="39"/>
      <c r="H125" s="36">
        <f t="shared" si="3"/>
        <v>0</v>
      </c>
      <c r="I125" s="33"/>
      <c r="J125" s="33"/>
    </row>
    <row r="126" spans="1:10" x14ac:dyDescent="0.25">
      <c r="A126" s="33" t="s">
        <v>800</v>
      </c>
      <c r="B126" s="33"/>
      <c r="C126" s="33"/>
      <c r="D126" s="33"/>
      <c r="E126" s="33"/>
      <c r="F126" s="39"/>
      <c r="G126" s="39"/>
      <c r="H126" s="36">
        <f t="shared" si="3"/>
        <v>0</v>
      </c>
      <c r="I126" s="33"/>
      <c r="J126" s="33"/>
    </row>
    <row r="127" spans="1:10" x14ac:dyDescent="0.25">
      <c r="A127" s="33" t="s">
        <v>801</v>
      </c>
      <c r="B127" s="33"/>
      <c r="C127" s="33"/>
      <c r="D127" s="33"/>
      <c r="E127" s="33"/>
      <c r="F127" s="39"/>
      <c r="G127" s="39"/>
      <c r="H127" s="36">
        <f t="shared" si="3"/>
        <v>0</v>
      </c>
      <c r="I127" s="33"/>
      <c r="J127" s="33"/>
    </row>
    <row r="128" spans="1:10" x14ac:dyDescent="0.25">
      <c r="A128" s="33" t="s">
        <v>802</v>
      </c>
      <c r="B128" s="33"/>
      <c r="C128" s="33"/>
      <c r="D128" s="33"/>
      <c r="E128" s="33"/>
      <c r="F128" s="39"/>
      <c r="G128" s="39"/>
      <c r="H128" s="36">
        <f t="shared" si="3"/>
        <v>0</v>
      </c>
      <c r="I128" s="33"/>
      <c r="J128" s="33"/>
    </row>
    <row r="129" spans="1:10" x14ac:dyDescent="0.25">
      <c r="A129" s="33" t="s">
        <v>803</v>
      </c>
      <c r="B129" s="33"/>
      <c r="C129" s="33"/>
      <c r="D129" s="33"/>
      <c r="E129" s="33"/>
      <c r="F129" s="39"/>
      <c r="G129" s="39"/>
      <c r="H129" s="36">
        <f t="shared" si="3"/>
        <v>0</v>
      </c>
      <c r="I129" s="33"/>
      <c r="J129" s="33"/>
    </row>
    <row r="130" spans="1:10" x14ac:dyDescent="0.25">
      <c r="A130" s="33" t="s">
        <v>804</v>
      </c>
      <c r="B130" s="33"/>
      <c r="C130" s="33"/>
      <c r="D130" s="33"/>
      <c r="E130" s="33"/>
      <c r="F130" s="39"/>
      <c r="G130" s="39"/>
      <c r="H130" s="36">
        <f t="shared" ref="H130:H161" si="4">MAX(F130-G130,0)</f>
        <v>0</v>
      </c>
      <c r="I130" s="33"/>
      <c r="J130" s="33"/>
    </row>
    <row r="131" spans="1:10" x14ac:dyDescent="0.25">
      <c r="A131" s="33" t="s">
        <v>805</v>
      </c>
      <c r="B131" s="33"/>
      <c r="C131" s="33"/>
      <c r="D131" s="33"/>
      <c r="E131" s="33"/>
      <c r="F131" s="39"/>
      <c r="G131" s="39"/>
      <c r="H131" s="36">
        <f t="shared" si="4"/>
        <v>0</v>
      </c>
      <c r="I131" s="33"/>
      <c r="J131" s="33"/>
    </row>
    <row r="132" spans="1:10" x14ac:dyDescent="0.25">
      <c r="A132" s="33" t="s">
        <v>806</v>
      </c>
      <c r="B132" s="33"/>
      <c r="C132" s="33"/>
      <c r="D132" s="33"/>
      <c r="E132" s="33"/>
      <c r="F132" s="39"/>
      <c r="G132" s="39"/>
      <c r="H132" s="36">
        <f t="shared" si="4"/>
        <v>0</v>
      </c>
      <c r="I132" s="33"/>
      <c r="J132" s="33"/>
    </row>
    <row r="133" spans="1:10" x14ac:dyDescent="0.25">
      <c r="A133" s="33" t="s">
        <v>807</v>
      </c>
      <c r="B133" s="33"/>
      <c r="C133" s="33"/>
      <c r="D133" s="33"/>
      <c r="E133" s="33"/>
      <c r="F133" s="39"/>
      <c r="G133" s="39"/>
      <c r="H133" s="36">
        <f t="shared" si="4"/>
        <v>0</v>
      </c>
      <c r="I133" s="33"/>
      <c r="J133" s="33"/>
    </row>
    <row r="134" spans="1:10" x14ac:dyDescent="0.25">
      <c r="A134" s="33" t="s">
        <v>808</v>
      </c>
      <c r="B134" s="33"/>
      <c r="C134" s="33"/>
      <c r="D134" s="33"/>
      <c r="E134" s="33"/>
      <c r="F134" s="39"/>
      <c r="G134" s="39"/>
      <c r="H134" s="36">
        <f t="shared" si="4"/>
        <v>0</v>
      </c>
      <c r="I134" s="33"/>
      <c r="J134" s="33"/>
    </row>
    <row r="135" spans="1:10" x14ac:dyDescent="0.25">
      <c r="A135" s="33" t="s">
        <v>809</v>
      </c>
      <c r="B135" s="33"/>
      <c r="C135" s="33"/>
      <c r="D135" s="33"/>
      <c r="E135" s="33"/>
      <c r="F135" s="39"/>
      <c r="G135" s="39"/>
      <c r="H135" s="36">
        <f t="shared" si="4"/>
        <v>0</v>
      </c>
      <c r="I135" s="33"/>
      <c r="J135" s="33"/>
    </row>
    <row r="136" spans="1:10" x14ac:dyDescent="0.25">
      <c r="A136" s="33" t="s">
        <v>810</v>
      </c>
      <c r="B136" s="33"/>
      <c r="C136" s="33"/>
      <c r="D136" s="33"/>
      <c r="E136" s="33"/>
      <c r="F136" s="39"/>
      <c r="G136" s="39"/>
      <c r="H136" s="36">
        <f t="shared" si="4"/>
        <v>0</v>
      </c>
      <c r="I136" s="33"/>
      <c r="J136" s="33"/>
    </row>
    <row r="137" spans="1:10" x14ac:dyDescent="0.25">
      <c r="A137" s="33" t="s">
        <v>811</v>
      </c>
      <c r="B137" s="33"/>
      <c r="C137" s="33"/>
      <c r="D137" s="33"/>
      <c r="E137" s="33"/>
      <c r="F137" s="39"/>
      <c r="G137" s="39"/>
      <c r="H137" s="36">
        <f t="shared" si="4"/>
        <v>0</v>
      </c>
      <c r="I137" s="33"/>
      <c r="J137" s="33"/>
    </row>
    <row r="138" spans="1:10" x14ac:dyDescent="0.25">
      <c r="A138" s="33" t="s">
        <v>812</v>
      </c>
      <c r="B138" s="33"/>
      <c r="C138" s="33"/>
      <c r="D138" s="33"/>
      <c r="E138" s="33"/>
      <c r="F138" s="39"/>
      <c r="G138" s="39"/>
      <c r="H138" s="36">
        <f t="shared" si="4"/>
        <v>0</v>
      </c>
      <c r="I138" s="33"/>
      <c r="J138" s="33"/>
    </row>
    <row r="139" spans="1:10" x14ac:dyDescent="0.25">
      <c r="A139" s="33" t="s">
        <v>813</v>
      </c>
      <c r="B139" s="33"/>
      <c r="C139" s="33"/>
      <c r="D139" s="33"/>
      <c r="E139" s="33"/>
      <c r="F139" s="39"/>
      <c r="G139" s="39"/>
      <c r="H139" s="36">
        <f t="shared" si="4"/>
        <v>0</v>
      </c>
      <c r="I139" s="33"/>
      <c r="J139" s="33"/>
    </row>
  </sheetData>
  <autoFilter ref="A1:J1" xr:uid="{00000000-0009-0000-0000-000006000000}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11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24" customWidth="1"/>
    <col min="2" max="2" width="42" customWidth="1"/>
    <col min="3" max="3" width="16" customWidth="1"/>
    <col min="4" max="4" width="22" customWidth="1"/>
  </cols>
  <sheetData>
    <row r="1" spans="1:4" ht="27.95" customHeight="1" x14ac:dyDescent="0.25">
      <c r="A1" s="37" t="s">
        <v>814</v>
      </c>
      <c r="B1" s="37" t="s">
        <v>815</v>
      </c>
      <c r="C1" s="37" t="s">
        <v>536</v>
      </c>
      <c r="D1" s="37" t="s">
        <v>816</v>
      </c>
    </row>
    <row r="2" spans="1:4" x14ac:dyDescent="0.25">
      <c r="A2" s="33" t="s">
        <v>30</v>
      </c>
      <c r="B2" s="33" t="s">
        <v>817</v>
      </c>
      <c r="C2" s="33"/>
      <c r="D2" s="33" t="s">
        <v>818</v>
      </c>
    </row>
    <row r="3" spans="1:4" x14ac:dyDescent="0.25">
      <c r="A3" s="33" t="s">
        <v>31</v>
      </c>
      <c r="B3" s="33" t="s">
        <v>819</v>
      </c>
      <c r="C3" s="33"/>
      <c r="D3" s="33" t="s">
        <v>820</v>
      </c>
    </row>
    <row r="4" spans="1:4" x14ac:dyDescent="0.25">
      <c r="A4" s="33" t="s">
        <v>32</v>
      </c>
      <c r="B4" s="33" t="s">
        <v>819</v>
      </c>
      <c r="C4" s="33"/>
      <c r="D4" s="33" t="s">
        <v>820</v>
      </c>
    </row>
    <row r="5" spans="1:4" x14ac:dyDescent="0.25">
      <c r="A5" s="33" t="s">
        <v>33</v>
      </c>
      <c r="B5" s="33" t="s">
        <v>819</v>
      </c>
      <c r="C5" s="33"/>
      <c r="D5" s="33" t="s">
        <v>820</v>
      </c>
    </row>
    <row r="6" spans="1:4" x14ac:dyDescent="0.25">
      <c r="A6" s="33" t="s">
        <v>34</v>
      </c>
      <c r="B6" s="33" t="s">
        <v>819</v>
      </c>
      <c r="C6" s="33"/>
      <c r="D6" s="33" t="s">
        <v>820</v>
      </c>
    </row>
    <row r="7" spans="1:4" x14ac:dyDescent="0.25">
      <c r="A7" s="33" t="s">
        <v>35</v>
      </c>
      <c r="B7" s="33" t="s">
        <v>819</v>
      </c>
      <c r="C7" s="33"/>
      <c r="D7" s="33" t="s">
        <v>820</v>
      </c>
    </row>
    <row r="8" spans="1:4" x14ac:dyDescent="0.25">
      <c r="A8" s="33" t="s">
        <v>36</v>
      </c>
      <c r="B8" s="33" t="s">
        <v>819</v>
      </c>
      <c r="C8" s="33"/>
      <c r="D8" s="33" t="s">
        <v>820</v>
      </c>
    </row>
    <row r="9" spans="1:4" x14ac:dyDescent="0.25">
      <c r="A9" s="33" t="s">
        <v>37</v>
      </c>
      <c r="B9" s="33" t="s">
        <v>819</v>
      </c>
      <c r="C9" s="33"/>
      <c r="D9" s="33" t="s">
        <v>820</v>
      </c>
    </row>
    <row r="10" spans="1:4" x14ac:dyDescent="0.25">
      <c r="A10" s="33" t="s">
        <v>38</v>
      </c>
      <c r="B10" s="33" t="s">
        <v>819</v>
      </c>
      <c r="C10" s="33"/>
      <c r="D10" s="33" t="s">
        <v>820</v>
      </c>
    </row>
    <row r="11" spans="1:4" x14ac:dyDescent="0.25">
      <c r="A11" s="33" t="s">
        <v>39</v>
      </c>
      <c r="B11" s="33" t="s">
        <v>821</v>
      </c>
      <c r="C11" s="33"/>
      <c r="D11" s="33" t="s">
        <v>820</v>
      </c>
    </row>
  </sheetData>
  <autoFilter ref="A1:D1" xr:uid="{00000000-0009-0000-0000-000007000000}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7"/>
  <sheetViews>
    <sheetView showGridLines="0" workbookViewId="0">
      <pane ySplit="1" topLeftCell="A2" activePane="bottomLeft" state="frozen"/>
      <selection pane="bottomLeft" activeCell="B3" sqref="B3"/>
    </sheetView>
  </sheetViews>
  <sheetFormatPr defaultRowHeight="15" x14ac:dyDescent="0.25"/>
  <cols>
    <col min="1" max="1" width="18" customWidth="1"/>
    <col min="2" max="3" width="72" customWidth="1"/>
  </cols>
  <sheetData>
    <row r="1" spans="1:3" ht="27.95" customHeight="1" x14ac:dyDescent="0.25">
      <c r="A1" s="37" t="s">
        <v>822</v>
      </c>
      <c r="B1" s="37" t="s">
        <v>823</v>
      </c>
      <c r="C1" s="37" t="s">
        <v>824</v>
      </c>
    </row>
    <row r="2" spans="1:3" ht="30" x14ac:dyDescent="0.25">
      <c r="A2" s="33" t="s">
        <v>825</v>
      </c>
      <c r="B2" s="33" t="s">
        <v>826</v>
      </c>
      <c r="C2" s="33" t="s">
        <v>827</v>
      </c>
    </row>
    <row r="3" spans="1:3" ht="30" x14ac:dyDescent="0.25">
      <c r="A3" s="33" t="s">
        <v>825</v>
      </c>
      <c r="B3" s="33" t="s">
        <v>828</v>
      </c>
      <c r="C3" s="33" t="s">
        <v>829</v>
      </c>
    </row>
    <row r="4" spans="1:3" ht="30" x14ac:dyDescent="0.25">
      <c r="A4" s="33" t="s">
        <v>825</v>
      </c>
      <c r="B4" s="33" t="s">
        <v>830</v>
      </c>
      <c r="C4" s="33" t="s">
        <v>831</v>
      </c>
    </row>
    <row r="5" spans="1:3" x14ac:dyDescent="0.25">
      <c r="A5" s="33" t="s">
        <v>832</v>
      </c>
      <c r="B5" s="33" t="s">
        <v>833</v>
      </c>
      <c r="C5" s="33" t="s">
        <v>834</v>
      </c>
    </row>
    <row r="6" spans="1:3" ht="30" x14ac:dyDescent="0.25">
      <c r="A6" s="33" t="s">
        <v>832</v>
      </c>
      <c r="B6" s="33" t="s">
        <v>835</v>
      </c>
      <c r="C6" s="33" t="s">
        <v>836</v>
      </c>
    </row>
    <row r="7" spans="1:3" ht="30" x14ac:dyDescent="0.25">
      <c r="A7" s="33" t="s">
        <v>825</v>
      </c>
      <c r="B7" s="33" t="s">
        <v>837</v>
      </c>
      <c r="C7" s="33" t="s">
        <v>838</v>
      </c>
    </row>
  </sheetData>
  <autoFilter ref="A1:C1" xr:uid="{00000000-0009-0000-0000-000008000000}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1000"/>
  <sheetViews>
    <sheetView workbookViewId="0"/>
  </sheetViews>
  <sheetFormatPr defaultColWidth="14.42578125" defaultRowHeight="15" customHeight="1" x14ac:dyDescent="0.25"/>
  <cols>
    <col min="1" max="1" width="16.28515625" customWidth="1"/>
    <col min="2" max="2" width="36.7109375" customWidth="1"/>
    <col min="3" max="3" width="8" customWidth="1"/>
    <col min="4" max="4" width="36.7109375" customWidth="1"/>
    <col min="5" max="5" width="14.42578125" customWidth="1"/>
    <col min="6" max="6" width="11" customWidth="1"/>
    <col min="7" max="7" width="20.7109375" customWidth="1"/>
    <col min="8" max="8" width="29.42578125" customWidth="1"/>
    <col min="9" max="9" width="17.140625" customWidth="1"/>
    <col min="10" max="10" width="32.140625" customWidth="1"/>
  </cols>
  <sheetData>
    <row r="1" spans="1:10" ht="26.25" customHeight="1" x14ac:dyDescent="0.4">
      <c r="C1" s="1" t="s">
        <v>839</v>
      </c>
      <c r="D1" s="2"/>
      <c r="E1" s="3" t="s">
        <v>840</v>
      </c>
      <c r="J1" s="4" t="s">
        <v>841</v>
      </c>
    </row>
    <row r="2" spans="1:10" x14ac:dyDescent="0.25">
      <c r="A2" s="3" t="s">
        <v>842</v>
      </c>
      <c r="B2" s="3" t="s">
        <v>843</v>
      </c>
      <c r="C2" s="3" t="s">
        <v>844</v>
      </c>
      <c r="D2" s="3" t="s">
        <v>845</v>
      </c>
      <c r="G2" s="3" t="s">
        <v>846</v>
      </c>
      <c r="H2" s="2" t="s">
        <v>847</v>
      </c>
      <c r="I2" s="3" t="s">
        <v>848</v>
      </c>
      <c r="J2" s="4" t="s">
        <v>849</v>
      </c>
    </row>
    <row r="3" spans="1:10" x14ac:dyDescent="0.25">
      <c r="G3" s="5"/>
      <c r="J3" s="4" t="s">
        <v>850</v>
      </c>
    </row>
    <row r="4" spans="1:10" x14ac:dyDescent="0.25">
      <c r="A4" s="5">
        <v>1</v>
      </c>
      <c r="B4" s="3" t="s">
        <v>851</v>
      </c>
      <c r="C4" s="3">
        <v>40</v>
      </c>
      <c r="D4" s="6"/>
      <c r="E4" s="7"/>
      <c r="G4" s="8">
        <v>637700</v>
      </c>
      <c r="H4" s="3" t="s">
        <v>57</v>
      </c>
      <c r="J4" s="4" t="s">
        <v>852</v>
      </c>
    </row>
    <row r="5" spans="1:10" x14ac:dyDescent="0.25">
      <c r="A5" s="5">
        <v>2</v>
      </c>
      <c r="B5" s="3" t="s">
        <v>60</v>
      </c>
      <c r="C5" s="3">
        <v>50</v>
      </c>
      <c r="D5" s="9"/>
      <c r="G5" s="8">
        <v>595300</v>
      </c>
      <c r="H5" s="3" t="s">
        <v>57</v>
      </c>
    </row>
    <row r="6" spans="1:10" x14ac:dyDescent="0.25">
      <c r="A6" s="5">
        <v>3</v>
      </c>
      <c r="B6" s="3" t="s">
        <v>63</v>
      </c>
      <c r="D6" s="9"/>
      <c r="G6" s="8">
        <v>5090000</v>
      </c>
      <c r="H6" s="3" t="s">
        <v>64</v>
      </c>
    </row>
    <row r="7" spans="1:10" x14ac:dyDescent="0.25">
      <c r="A7" s="5">
        <v>4</v>
      </c>
      <c r="B7" s="3" t="s">
        <v>67</v>
      </c>
      <c r="C7" s="3">
        <v>16</v>
      </c>
      <c r="D7" s="6">
        <v>20000</v>
      </c>
      <c r="G7" s="8">
        <v>320000</v>
      </c>
      <c r="H7" s="3" t="s">
        <v>64</v>
      </c>
    </row>
    <row r="8" spans="1:10" x14ac:dyDescent="0.25">
      <c r="A8" s="5">
        <v>5</v>
      </c>
      <c r="B8" s="3" t="s">
        <v>70</v>
      </c>
      <c r="D8" s="9"/>
      <c r="G8" s="8">
        <v>300000</v>
      </c>
      <c r="H8" s="3" t="s">
        <v>64</v>
      </c>
    </row>
    <row r="9" spans="1:10" x14ac:dyDescent="0.25">
      <c r="A9" s="5">
        <v>6</v>
      </c>
      <c r="B9" s="3" t="s">
        <v>853</v>
      </c>
      <c r="C9" s="3">
        <v>2</v>
      </c>
      <c r="D9" s="6">
        <v>80000</v>
      </c>
      <c r="G9" s="8">
        <v>160000</v>
      </c>
      <c r="H9" s="3" t="s">
        <v>64</v>
      </c>
    </row>
    <row r="10" spans="1:10" x14ac:dyDescent="0.25">
      <c r="A10" s="5">
        <v>7</v>
      </c>
      <c r="B10" s="3" t="s">
        <v>76</v>
      </c>
      <c r="C10" s="3">
        <v>2</v>
      </c>
      <c r="D10" s="6">
        <v>235000</v>
      </c>
      <c r="G10" s="8">
        <v>470000</v>
      </c>
      <c r="H10" s="3" t="s">
        <v>64</v>
      </c>
    </row>
    <row r="11" spans="1:10" x14ac:dyDescent="0.25">
      <c r="A11" s="5">
        <v>8</v>
      </c>
      <c r="B11" s="3" t="s">
        <v>79</v>
      </c>
      <c r="D11" s="9"/>
      <c r="G11" s="8">
        <v>3352000</v>
      </c>
      <c r="H11" s="3" t="s">
        <v>80</v>
      </c>
    </row>
    <row r="12" spans="1:10" x14ac:dyDescent="0.25">
      <c r="A12" s="5">
        <v>9</v>
      </c>
      <c r="B12" s="3" t="s">
        <v>83</v>
      </c>
      <c r="D12" s="9"/>
      <c r="G12" s="8">
        <v>800000</v>
      </c>
      <c r="H12" s="3" t="s">
        <v>64</v>
      </c>
      <c r="I12" s="3" t="s">
        <v>854</v>
      </c>
    </row>
    <row r="13" spans="1:10" x14ac:dyDescent="0.25">
      <c r="A13" s="5">
        <v>10</v>
      </c>
      <c r="B13" s="3" t="s">
        <v>86</v>
      </c>
      <c r="C13" s="3">
        <v>1</v>
      </c>
      <c r="D13" s="9">
        <v>1</v>
      </c>
      <c r="G13" s="8">
        <v>8500000</v>
      </c>
      <c r="H13" s="3" t="s">
        <v>87</v>
      </c>
      <c r="I13" s="3" t="s">
        <v>33</v>
      </c>
    </row>
    <row r="14" spans="1:10" x14ac:dyDescent="0.25">
      <c r="A14" s="5">
        <v>11</v>
      </c>
      <c r="B14" s="3" t="s">
        <v>90</v>
      </c>
      <c r="C14" s="3">
        <v>1</v>
      </c>
      <c r="D14" s="9"/>
      <c r="G14" s="8">
        <v>2200000</v>
      </c>
      <c r="I14" s="3" t="s">
        <v>33</v>
      </c>
    </row>
    <row r="15" spans="1:10" x14ac:dyDescent="0.25">
      <c r="A15" s="5">
        <v>12</v>
      </c>
      <c r="B15" s="3" t="s">
        <v>93</v>
      </c>
      <c r="C15" s="3">
        <v>1</v>
      </c>
      <c r="D15" s="9"/>
      <c r="G15" s="8">
        <v>500000</v>
      </c>
      <c r="I15" s="3" t="s">
        <v>34</v>
      </c>
    </row>
    <row r="16" spans="1:10" x14ac:dyDescent="0.25">
      <c r="A16" s="5">
        <v>13</v>
      </c>
      <c r="B16" s="3" t="s">
        <v>96</v>
      </c>
      <c r="C16" s="3">
        <v>1</v>
      </c>
      <c r="D16" s="9"/>
      <c r="G16" s="8">
        <v>2800000</v>
      </c>
      <c r="I16" s="3" t="s">
        <v>35</v>
      </c>
    </row>
    <row r="17" spans="1:9" x14ac:dyDescent="0.25">
      <c r="A17" s="5">
        <v>14</v>
      </c>
      <c r="B17" s="3" t="s">
        <v>99</v>
      </c>
      <c r="C17" s="3">
        <v>1</v>
      </c>
      <c r="D17" s="9"/>
      <c r="G17" s="8">
        <v>3200000</v>
      </c>
      <c r="H17" s="3" t="s">
        <v>100</v>
      </c>
      <c r="I17" s="3" t="s">
        <v>36</v>
      </c>
    </row>
    <row r="18" spans="1:9" x14ac:dyDescent="0.25">
      <c r="A18" s="5">
        <v>15</v>
      </c>
      <c r="B18" s="3" t="s">
        <v>103</v>
      </c>
      <c r="C18" s="3">
        <v>25</v>
      </c>
      <c r="D18" s="9"/>
      <c r="G18" s="8">
        <v>812500</v>
      </c>
      <c r="H18" s="3" t="s">
        <v>57</v>
      </c>
    </row>
    <row r="19" spans="1:9" x14ac:dyDescent="0.25">
      <c r="A19" s="5">
        <v>16</v>
      </c>
      <c r="B19" s="3" t="s">
        <v>103</v>
      </c>
      <c r="C19" s="3">
        <v>20</v>
      </c>
      <c r="D19" s="9"/>
      <c r="G19" s="8">
        <v>653000</v>
      </c>
      <c r="H19" s="3" t="s">
        <v>57</v>
      </c>
    </row>
    <row r="20" spans="1:9" x14ac:dyDescent="0.25">
      <c r="A20" s="5">
        <v>17</v>
      </c>
      <c r="B20" s="3" t="s">
        <v>108</v>
      </c>
      <c r="C20" s="3">
        <v>1</v>
      </c>
      <c r="D20" s="9"/>
      <c r="G20" s="8">
        <v>350000</v>
      </c>
      <c r="H20" s="3" t="s">
        <v>109</v>
      </c>
    </row>
    <row r="21" spans="1:9" ht="15.75" customHeight="1" x14ac:dyDescent="0.25">
      <c r="A21" s="5">
        <v>18</v>
      </c>
      <c r="B21" s="3" t="s">
        <v>112</v>
      </c>
      <c r="C21" s="3">
        <v>1</v>
      </c>
      <c r="D21" s="9"/>
      <c r="G21" s="8">
        <v>260000</v>
      </c>
      <c r="H21" s="3" t="s">
        <v>109</v>
      </c>
    </row>
    <row r="22" spans="1:9" ht="15.75" customHeight="1" x14ac:dyDescent="0.25">
      <c r="A22" s="5">
        <v>19</v>
      </c>
      <c r="B22" s="3" t="s">
        <v>115</v>
      </c>
      <c r="C22" s="3">
        <v>1</v>
      </c>
      <c r="D22" s="9"/>
      <c r="G22" s="8">
        <v>240000</v>
      </c>
      <c r="H22" s="3" t="s">
        <v>109</v>
      </c>
    </row>
    <row r="23" spans="1:9" ht="15.75" customHeight="1" x14ac:dyDescent="0.25">
      <c r="A23" s="5">
        <v>20</v>
      </c>
      <c r="B23" s="3" t="s">
        <v>118</v>
      </c>
      <c r="C23" s="3">
        <v>1</v>
      </c>
      <c r="D23" s="9"/>
      <c r="G23" s="8">
        <v>420000</v>
      </c>
      <c r="H23" s="3" t="s">
        <v>109</v>
      </c>
    </row>
    <row r="24" spans="1:9" ht="15.75" customHeight="1" x14ac:dyDescent="0.25">
      <c r="A24" s="5">
        <v>21</v>
      </c>
      <c r="B24" s="3" t="s">
        <v>121</v>
      </c>
      <c r="C24" s="3">
        <v>1</v>
      </c>
      <c r="D24" s="9"/>
      <c r="G24" s="8">
        <v>800000</v>
      </c>
      <c r="H24" s="3" t="s">
        <v>109</v>
      </c>
    </row>
    <row r="25" spans="1:9" ht="15.75" customHeight="1" x14ac:dyDescent="0.25">
      <c r="A25" s="5">
        <v>22</v>
      </c>
      <c r="B25" s="3" t="s">
        <v>124</v>
      </c>
      <c r="C25" s="3">
        <v>1</v>
      </c>
      <c r="D25" s="9"/>
      <c r="G25" s="8">
        <v>100000</v>
      </c>
      <c r="H25" s="3" t="s">
        <v>109</v>
      </c>
    </row>
    <row r="26" spans="1:9" ht="15.75" customHeight="1" x14ac:dyDescent="0.25">
      <c r="A26" s="5">
        <v>23</v>
      </c>
      <c r="B26" s="3" t="s">
        <v>127</v>
      </c>
      <c r="C26" s="3">
        <v>1</v>
      </c>
      <c r="D26" s="9"/>
      <c r="G26" s="8">
        <v>115000</v>
      </c>
      <c r="H26" s="3" t="s">
        <v>109</v>
      </c>
    </row>
    <row r="27" spans="1:9" ht="15.75" customHeight="1" x14ac:dyDescent="0.25">
      <c r="A27" s="5">
        <v>24</v>
      </c>
      <c r="B27" s="3" t="s">
        <v>130</v>
      </c>
      <c r="C27" s="3">
        <v>1</v>
      </c>
      <c r="D27" s="9"/>
      <c r="G27" s="8">
        <v>250000</v>
      </c>
      <c r="H27" s="3" t="s">
        <v>109</v>
      </c>
    </row>
    <row r="28" spans="1:9" ht="15.75" customHeight="1" x14ac:dyDescent="0.25">
      <c r="B28" s="3" t="s">
        <v>133</v>
      </c>
      <c r="C28" s="3">
        <v>1</v>
      </c>
      <c r="D28" s="6">
        <v>580000</v>
      </c>
      <c r="G28" s="8">
        <v>580000</v>
      </c>
      <c r="H28" s="3" t="s">
        <v>109</v>
      </c>
      <c r="I28" s="3" t="s">
        <v>37</v>
      </c>
    </row>
    <row r="29" spans="1:9" ht="15.75" customHeight="1" x14ac:dyDescent="0.25">
      <c r="A29" s="5">
        <v>25</v>
      </c>
      <c r="B29" s="3" t="s">
        <v>136</v>
      </c>
      <c r="C29" s="3">
        <v>1</v>
      </c>
      <c r="D29" s="9"/>
      <c r="G29" s="8">
        <v>160000</v>
      </c>
      <c r="H29" s="3" t="s">
        <v>137</v>
      </c>
      <c r="I29" s="3" t="s">
        <v>38</v>
      </c>
    </row>
    <row r="30" spans="1:9" ht="15.75" customHeight="1" x14ac:dyDescent="0.25">
      <c r="A30" s="5">
        <v>26</v>
      </c>
      <c r="B30" s="3" t="s">
        <v>140</v>
      </c>
      <c r="C30" s="3">
        <v>1</v>
      </c>
      <c r="D30" s="9"/>
      <c r="G30" s="8">
        <v>160000</v>
      </c>
      <c r="H30" s="3" t="s">
        <v>137</v>
      </c>
    </row>
    <row r="31" spans="1:9" ht="15.75" customHeight="1" x14ac:dyDescent="0.25">
      <c r="A31" s="5">
        <v>27</v>
      </c>
      <c r="B31" s="3" t="s">
        <v>143</v>
      </c>
      <c r="C31" s="3">
        <v>2</v>
      </c>
      <c r="D31" s="9">
        <v>30000</v>
      </c>
      <c r="G31" s="8">
        <f t="shared" ref="G31:G38" si="0">C31*D31</f>
        <v>60000</v>
      </c>
      <c r="H31" s="3" t="s">
        <v>137</v>
      </c>
    </row>
    <row r="32" spans="1:9" ht="15.75" customHeight="1" x14ac:dyDescent="0.25">
      <c r="A32" s="5">
        <v>28</v>
      </c>
      <c r="B32" s="3" t="s">
        <v>146</v>
      </c>
      <c r="C32" s="3">
        <v>2</v>
      </c>
      <c r="D32" s="9">
        <v>30000</v>
      </c>
      <c r="G32" s="8">
        <f t="shared" si="0"/>
        <v>60000</v>
      </c>
      <c r="H32" s="3" t="s">
        <v>137</v>
      </c>
    </row>
    <row r="33" spans="1:8" ht="15.75" customHeight="1" x14ac:dyDescent="0.25">
      <c r="A33" s="5">
        <v>29</v>
      </c>
      <c r="B33" s="3" t="s">
        <v>149</v>
      </c>
      <c r="C33" s="3">
        <v>2</v>
      </c>
      <c r="D33" s="6">
        <v>55000</v>
      </c>
      <c r="G33" s="8">
        <f t="shared" si="0"/>
        <v>110000</v>
      </c>
      <c r="H33" s="3" t="s">
        <v>137</v>
      </c>
    </row>
    <row r="34" spans="1:8" ht="15.75" customHeight="1" x14ac:dyDescent="0.25">
      <c r="A34" s="5">
        <v>30</v>
      </c>
      <c r="B34" s="3" t="s">
        <v>152</v>
      </c>
      <c r="C34" s="3">
        <v>2</v>
      </c>
      <c r="D34" s="6">
        <v>55000</v>
      </c>
      <c r="G34" s="8">
        <f t="shared" si="0"/>
        <v>110000</v>
      </c>
      <c r="H34" s="3" t="s">
        <v>137</v>
      </c>
    </row>
    <row r="35" spans="1:8" ht="15.75" customHeight="1" x14ac:dyDescent="0.25">
      <c r="B35" s="3" t="s">
        <v>155</v>
      </c>
      <c r="C35" s="3">
        <v>2</v>
      </c>
      <c r="D35" s="6">
        <v>30000</v>
      </c>
      <c r="G35" s="8">
        <f t="shared" si="0"/>
        <v>60000</v>
      </c>
      <c r="H35" s="3" t="s">
        <v>137</v>
      </c>
    </row>
    <row r="36" spans="1:8" ht="15.75" customHeight="1" x14ac:dyDescent="0.25">
      <c r="B36" s="3" t="s">
        <v>158</v>
      </c>
      <c r="C36" s="3">
        <v>2</v>
      </c>
      <c r="D36" s="6">
        <v>55000</v>
      </c>
      <c r="G36" s="8">
        <f t="shared" si="0"/>
        <v>110000</v>
      </c>
      <c r="H36" s="3" t="s">
        <v>137</v>
      </c>
    </row>
    <row r="37" spans="1:8" ht="15.75" customHeight="1" x14ac:dyDescent="0.25">
      <c r="B37" s="3" t="s">
        <v>161</v>
      </c>
      <c r="C37" s="3">
        <v>2</v>
      </c>
      <c r="D37" s="6">
        <v>110000</v>
      </c>
      <c r="G37" s="8">
        <f t="shared" si="0"/>
        <v>220000</v>
      </c>
      <c r="H37" s="3" t="s">
        <v>137</v>
      </c>
    </row>
    <row r="38" spans="1:8" ht="15.75" customHeight="1" x14ac:dyDescent="0.25">
      <c r="B38" s="3" t="s">
        <v>164</v>
      </c>
      <c r="C38" s="3">
        <v>4</v>
      </c>
      <c r="D38" s="6">
        <v>3500</v>
      </c>
      <c r="G38" s="8">
        <f t="shared" si="0"/>
        <v>14000</v>
      </c>
      <c r="H38" s="3" t="s">
        <v>137</v>
      </c>
    </row>
    <row r="39" spans="1:8" ht="15.75" customHeight="1" x14ac:dyDescent="0.25">
      <c r="B39" s="3" t="s">
        <v>167</v>
      </c>
      <c r="C39" s="3">
        <v>1</v>
      </c>
      <c r="D39" s="6"/>
      <c r="G39" s="8">
        <v>700000</v>
      </c>
      <c r="H39" s="3" t="s">
        <v>137</v>
      </c>
    </row>
    <row r="40" spans="1:8" ht="15.75" customHeight="1" x14ac:dyDescent="0.25">
      <c r="B40" s="3" t="s">
        <v>170</v>
      </c>
      <c r="C40" s="3">
        <v>1</v>
      </c>
      <c r="D40" s="6"/>
      <c r="G40" s="8">
        <v>950000</v>
      </c>
      <c r="H40" s="3" t="s">
        <v>137</v>
      </c>
    </row>
    <row r="41" spans="1:8" ht="15.75" customHeight="1" x14ac:dyDescent="0.25">
      <c r="B41" s="3" t="s">
        <v>173</v>
      </c>
      <c r="C41" s="3">
        <v>1</v>
      </c>
      <c r="D41" s="6"/>
      <c r="G41" s="8">
        <v>950000</v>
      </c>
      <c r="H41" s="3" t="s">
        <v>137</v>
      </c>
    </row>
    <row r="42" spans="1:8" ht="15.75" customHeight="1" x14ac:dyDescent="0.25">
      <c r="B42" s="3" t="s">
        <v>176</v>
      </c>
      <c r="C42" s="3">
        <v>4</v>
      </c>
      <c r="D42" s="10" t="s">
        <v>855</v>
      </c>
      <c r="G42" s="5">
        <v>0</v>
      </c>
      <c r="H42" s="3" t="s">
        <v>137</v>
      </c>
    </row>
    <row r="43" spans="1:8" ht="15.75" customHeight="1" x14ac:dyDescent="0.25">
      <c r="A43" s="11"/>
      <c r="D43" s="12"/>
      <c r="G43" s="7"/>
    </row>
    <row r="44" spans="1:8" ht="15.75" customHeight="1" x14ac:dyDescent="0.25">
      <c r="G44" s="7">
        <f>SUM(G4:G41)</f>
        <v>37169500</v>
      </c>
    </row>
    <row r="45" spans="1:8" ht="15.75" customHeight="1" x14ac:dyDescent="0.25">
      <c r="B45" s="3" t="s">
        <v>179</v>
      </c>
      <c r="C45" s="3">
        <v>10</v>
      </c>
      <c r="D45" s="7">
        <v>36000</v>
      </c>
      <c r="G45" s="7">
        <v>360000</v>
      </c>
    </row>
    <row r="46" spans="1:8" ht="15.75" customHeight="1" x14ac:dyDescent="0.25">
      <c r="B46" s="3" t="s">
        <v>182</v>
      </c>
      <c r="G46" s="7">
        <v>110000</v>
      </c>
    </row>
    <row r="47" spans="1:8" ht="15.75" customHeight="1" x14ac:dyDescent="0.25">
      <c r="B47" s="3" t="s">
        <v>185</v>
      </c>
      <c r="C47" s="3">
        <v>50</v>
      </c>
      <c r="D47" s="7">
        <v>23000</v>
      </c>
      <c r="G47" s="7">
        <v>1150000</v>
      </c>
    </row>
    <row r="48" spans="1:8" ht="15.75" customHeight="1" x14ac:dyDescent="0.25">
      <c r="B48" s="3" t="s">
        <v>188</v>
      </c>
      <c r="C48" s="3">
        <v>3</v>
      </c>
      <c r="D48" s="7">
        <v>110000</v>
      </c>
      <c r="G48" s="7">
        <v>330000</v>
      </c>
    </row>
    <row r="49" spans="1:8" ht="15.75" customHeight="1" x14ac:dyDescent="0.25">
      <c r="B49" s="3" t="s">
        <v>191</v>
      </c>
      <c r="C49" s="3">
        <v>4</v>
      </c>
      <c r="D49" s="7">
        <v>120000</v>
      </c>
      <c r="G49" s="7">
        <v>480000</v>
      </c>
    </row>
    <row r="50" spans="1:8" ht="15.75" customHeight="1" x14ac:dyDescent="0.25">
      <c r="B50" s="3" t="s">
        <v>194</v>
      </c>
      <c r="C50" s="3">
        <v>2</v>
      </c>
      <c r="D50" s="7">
        <v>205000</v>
      </c>
      <c r="G50" s="7">
        <v>410000</v>
      </c>
    </row>
    <row r="51" spans="1:8" ht="15.75" customHeight="1" x14ac:dyDescent="0.25">
      <c r="B51" s="3" t="s">
        <v>197</v>
      </c>
      <c r="C51" s="3">
        <v>1</v>
      </c>
      <c r="D51" s="7">
        <v>350000</v>
      </c>
      <c r="G51" s="7">
        <v>350000</v>
      </c>
    </row>
    <row r="52" spans="1:8" ht="15.75" customHeight="1" x14ac:dyDescent="0.25">
      <c r="B52" s="3" t="s">
        <v>200</v>
      </c>
      <c r="C52" s="3">
        <v>1</v>
      </c>
      <c r="D52" s="7">
        <v>350000</v>
      </c>
      <c r="G52" s="7">
        <v>350000</v>
      </c>
    </row>
    <row r="53" spans="1:8" ht="15.75" customHeight="1" x14ac:dyDescent="0.25">
      <c r="B53" s="3" t="s">
        <v>203</v>
      </c>
      <c r="G53" s="4">
        <v>890000</v>
      </c>
      <c r="H53" s="3" t="s">
        <v>204</v>
      </c>
    </row>
    <row r="54" spans="1:8" ht="15.75" customHeight="1" x14ac:dyDescent="0.25">
      <c r="B54" s="3" t="s">
        <v>207</v>
      </c>
      <c r="D54" s="4">
        <v>77000</v>
      </c>
      <c r="G54" s="4">
        <v>1848000</v>
      </c>
      <c r="H54" s="3" t="s">
        <v>204</v>
      </c>
    </row>
    <row r="55" spans="1:8" ht="15.75" customHeight="1" x14ac:dyDescent="0.25">
      <c r="B55" s="3" t="s">
        <v>210</v>
      </c>
      <c r="C55" s="4">
        <v>3</v>
      </c>
      <c r="G55" s="4">
        <v>240000</v>
      </c>
      <c r="H55" s="3" t="s">
        <v>211</v>
      </c>
    </row>
    <row r="56" spans="1:8" ht="15.75" customHeight="1" x14ac:dyDescent="0.25">
      <c r="B56" s="3" t="s">
        <v>214</v>
      </c>
      <c r="C56" s="4">
        <v>3</v>
      </c>
      <c r="G56" s="4">
        <v>255000</v>
      </c>
    </row>
    <row r="57" spans="1:8" ht="15.75" customHeight="1" x14ac:dyDescent="0.25">
      <c r="A57" s="11">
        <v>45973</v>
      </c>
      <c r="B57" s="4" t="s">
        <v>217</v>
      </c>
      <c r="C57" s="4">
        <v>2</v>
      </c>
      <c r="D57" s="4">
        <v>220</v>
      </c>
      <c r="G57" s="12">
        <v>440000</v>
      </c>
      <c r="H57" s="4" t="s">
        <v>218</v>
      </c>
    </row>
    <row r="58" spans="1:8" ht="15.75" customHeight="1" x14ac:dyDescent="0.25">
      <c r="A58" s="11">
        <v>45973</v>
      </c>
      <c r="B58" s="4" t="s">
        <v>221</v>
      </c>
      <c r="C58" s="4" t="s">
        <v>856</v>
      </c>
      <c r="D58" s="4">
        <v>81000</v>
      </c>
      <c r="G58" s="12">
        <v>1296000</v>
      </c>
      <c r="H58" s="4" t="s">
        <v>218</v>
      </c>
    </row>
    <row r="59" spans="1:8" ht="15.75" customHeight="1" x14ac:dyDescent="0.25">
      <c r="A59" s="11">
        <v>45973</v>
      </c>
      <c r="B59" s="4" t="s">
        <v>224</v>
      </c>
      <c r="C59" s="4">
        <v>2</v>
      </c>
      <c r="D59" s="12">
        <v>205000</v>
      </c>
      <c r="G59" s="12">
        <v>410000</v>
      </c>
      <c r="H59" s="4" t="s">
        <v>218</v>
      </c>
    </row>
    <row r="60" spans="1:8" ht="15.75" customHeight="1" x14ac:dyDescent="0.25">
      <c r="A60" s="11">
        <v>45973</v>
      </c>
      <c r="B60" s="4" t="s">
        <v>227</v>
      </c>
      <c r="C60" s="4">
        <v>2</v>
      </c>
      <c r="D60" s="12">
        <v>110000</v>
      </c>
      <c r="G60" s="12">
        <v>220000</v>
      </c>
      <c r="H60" s="4" t="s">
        <v>218</v>
      </c>
    </row>
    <row r="61" spans="1:8" ht="15.75" customHeight="1" x14ac:dyDescent="0.25">
      <c r="A61" s="11">
        <v>45944</v>
      </c>
      <c r="B61" s="4" t="s">
        <v>230</v>
      </c>
      <c r="C61" s="4">
        <v>1</v>
      </c>
      <c r="D61" s="12">
        <v>4000000</v>
      </c>
      <c r="G61" s="12">
        <v>4000000</v>
      </c>
      <c r="H61" s="13" t="s">
        <v>231</v>
      </c>
    </row>
    <row r="62" spans="1:8" ht="15.75" customHeight="1" x14ac:dyDescent="0.25">
      <c r="A62" s="11">
        <v>45980</v>
      </c>
      <c r="B62" s="4" t="s">
        <v>234</v>
      </c>
      <c r="C62" s="4">
        <v>3</v>
      </c>
      <c r="D62" s="4">
        <v>40000</v>
      </c>
      <c r="G62" s="4">
        <v>120000</v>
      </c>
    </row>
    <row r="63" spans="1:8" ht="15.75" customHeight="1" x14ac:dyDescent="0.25">
      <c r="B63" s="4" t="s">
        <v>237</v>
      </c>
      <c r="D63" s="4" t="s">
        <v>857</v>
      </c>
      <c r="G63" s="4">
        <v>100000</v>
      </c>
    </row>
    <row r="64" spans="1:8" ht="15.75" customHeight="1" x14ac:dyDescent="0.25">
      <c r="A64" s="14">
        <v>45994</v>
      </c>
      <c r="B64" s="4" t="s">
        <v>240</v>
      </c>
      <c r="G64" s="4">
        <v>1000000</v>
      </c>
      <c r="H64" s="4" t="s">
        <v>241</v>
      </c>
    </row>
    <row r="65" spans="1:8" ht="15.75" customHeight="1" x14ac:dyDescent="0.25">
      <c r="A65" s="11">
        <v>45995</v>
      </c>
      <c r="B65" s="4" t="s">
        <v>244</v>
      </c>
      <c r="D65" s="4">
        <v>1540000</v>
      </c>
      <c r="G65" s="4">
        <v>1540000</v>
      </c>
      <c r="H65" s="4" t="s">
        <v>858</v>
      </c>
    </row>
    <row r="66" spans="1:8" ht="15.75" customHeight="1" x14ac:dyDescent="0.25">
      <c r="A66" s="14">
        <v>45995</v>
      </c>
      <c r="B66" s="4" t="s">
        <v>248</v>
      </c>
      <c r="C66" s="4" t="s">
        <v>859</v>
      </c>
      <c r="D66" s="4"/>
      <c r="G66" s="4">
        <v>1320000</v>
      </c>
    </row>
    <row r="67" spans="1:8" ht="15.75" customHeight="1" x14ac:dyDescent="0.25">
      <c r="A67" s="11">
        <v>46014</v>
      </c>
      <c r="B67" s="4" t="s">
        <v>251</v>
      </c>
      <c r="C67" s="4" t="s">
        <v>860</v>
      </c>
      <c r="D67" s="4">
        <v>35000</v>
      </c>
      <c r="G67" s="4">
        <v>560000</v>
      </c>
      <c r="H67" s="4" t="s">
        <v>252</v>
      </c>
    </row>
    <row r="68" spans="1:8" ht="15.75" customHeight="1" x14ac:dyDescent="0.25">
      <c r="B68" s="4" t="s">
        <v>255</v>
      </c>
      <c r="D68" s="4">
        <v>120000</v>
      </c>
      <c r="G68" s="4">
        <v>480000</v>
      </c>
    </row>
    <row r="69" spans="1:8" ht="15.75" customHeight="1" x14ac:dyDescent="0.25">
      <c r="A69" s="11">
        <v>46018</v>
      </c>
      <c r="B69" s="4" t="s">
        <v>258</v>
      </c>
      <c r="C69" s="4">
        <v>1</v>
      </c>
      <c r="G69" s="4">
        <v>160000</v>
      </c>
      <c r="H69" s="4" t="s">
        <v>259</v>
      </c>
    </row>
    <row r="70" spans="1:8" ht="15.75" customHeight="1" x14ac:dyDescent="0.25">
      <c r="B70" s="4" t="s">
        <v>262</v>
      </c>
      <c r="C70" s="4">
        <v>1</v>
      </c>
      <c r="G70" s="4">
        <v>250000</v>
      </c>
    </row>
    <row r="71" spans="1:8" ht="15.75" customHeight="1" x14ac:dyDescent="0.25">
      <c r="B71" s="4" t="s">
        <v>265</v>
      </c>
      <c r="C71" s="4" t="s">
        <v>859</v>
      </c>
      <c r="D71" s="4">
        <v>35000</v>
      </c>
      <c r="G71" s="4">
        <v>2100000</v>
      </c>
    </row>
    <row r="72" spans="1:8" ht="15.75" customHeight="1" x14ac:dyDescent="0.25">
      <c r="B72" s="4" t="s">
        <v>268</v>
      </c>
      <c r="C72" s="4">
        <v>1</v>
      </c>
      <c r="G72" s="4">
        <v>220000</v>
      </c>
    </row>
    <row r="73" spans="1:8" ht="15.75" customHeight="1" x14ac:dyDescent="0.25">
      <c r="A73" s="11">
        <v>46024</v>
      </c>
      <c r="B73" s="4" t="s">
        <v>271</v>
      </c>
      <c r="C73" s="4">
        <v>8</v>
      </c>
      <c r="D73" s="4">
        <v>28000</v>
      </c>
      <c r="G73" s="4">
        <v>224000</v>
      </c>
    </row>
    <row r="74" spans="1:8" ht="15.75" customHeight="1" x14ac:dyDescent="0.25">
      <c r="B74" s="4" t="s">
        <v>274</v>
      </c>
      <c r="C74" s="4">
        <v>1</v>
      </c>
      <c r="G74" s="4">
        <v>750000</v>
      </c>
    </row>
    <row r="75" spans="1:8" ht="15.75" customHeight="1" x14ac:dyDescent="0.25"/>
    <row r="76" spans="1:8" ht="15.75" customHeight="1" x14ac:dyDescent="0.25">
      <c r="A76" s="11">
        <v>46046</v>
      </c>
      <c r="B76" s="4" t="s">
        <v>277</v>
      </c>
      <c r="C76" s="4">
        <v>20</v>
      </c>
      <c r="D76" s="4">
        <v>810000</v>
      </c>
      <c r="G76" s="4">
        <v>1620000</v>
      </c>
    </row>
    <row r="77" spans="1:8" ht="15.75" customHeight="1" x14ac:dyDescent="0.25">
      <c r="B77" s="4" t="s">
        <v>280</v>
      </c>
      <c r="C77" s="4">
        <v>4</v>
      </c>
      <c r="D77" s="4">
        <v>110000</v>
      </c>
      <c r="G77" s="4">
        <v>440000</v>
      </c>
    </row>
    <row r="78" spans="1:8" ht="15.75" customHeight="1" x14ac:dyDescent="0.25">
      <c r="B78" s="4" t="s">
        <v>283</v>
      </c>
      <c r="C78" s="4">
        <v>2</v>
      </c>
      <c r="D78" s="4">
        <v>110000</v>
      </c>
      <c r="G78" s="4">
        <v>220000</v>
      </c>
    </row>
    <row r="79" spans="1:8" ht="15.75" customHeight="1" x14ac:dyDescent="0.25">
      <c r="B79" s="4" t="s">
        <v>286</v>
      </c>
      <c r="C79" s="4" t="s">
        <v>861</v>
      </c>
      <c r="G79" s="4">
        <v>190000</v>
      </c>
    </row>
    <row r="80" spans="1:8" ht="15.75" customHeight="1" x14ac:dyDescent="0.25">
      <c r="A80" s="14">
        <v>47146</v>
      </c>
      <c r="B80" s="4" t="s">
        <v>289</v>
      </c>
      <c r="C80" s="4">
        <v>4</v>
      </c>
      <c r="D80" s="4">
        <v>25000</v>
      </c>
      <c r="G80" s="4">
        <v>100000</v>
      </c>
    </row>
    <row r="81" spans="1:7" ht="15.75" customHeight="1" x14ac:dyDescent="0.25">
      <c r="A81" s="15">
        <v>46083</v>
      </c>
      <c r="C81" s="4">
        <v>1</v>
      </c>
    </row>
    <row r="82" spans="1:7" ht="15.75" customHeight="1" x14ac:dyDescent="0.25">
      <c r="A82" s="11">
        <v>46083</v>
      </c>
      <c r="B82" s="4" t="s">
        <v>292</v>
      </c>
    </row>
    <row r="83" spans="1:7" ht="15.75" customHeight="1" x14ac:dyDescent="0.25">
      <c r="A83" s="11">
        <v>46149</v>
      </c>
      <c r="B83" s="4" t="s">
        <v>295</v>
      </c>
      <c r="C83" s="4">
        <v>93</v>
      </c>
      <c r="D83" s="4">
        <v>51000</v>
      </c>
      <c r="G83" s="4">
        <v>4743000</v>
      </c>
    </row>
    <row r="84" spans="1:7" ht="15.75" customHeight="1" x14ac:dyDescent="0.25">
      <c r="A84" s="11">
        <v>46149</v>
      </c>
      <c r="B84" s="4" t="s">
        <v>298</v>
      </c>
      <c r="D84" s="4" t="s">
        <v>862</v>
      </c>
    </row>
    <row r="85" spans="1:7" ht="15.75" customHeight="1" x14ac:dyDescent="0.25"/>
    <row r="86" spans="1:7" ht="15.75" customHeight="1" x14ac:dyDescent="0.25"/>
    <row r="87" spans="1:7" ht="15.75" customHeight="1" x14ac:dyDescent="0.25"/>
    <row r="88" spans="1:7" ht="15.75" customHeight="1" x14ac:dyDescent="0.25"/>
    <row r="89" spans="1:7" ht="15.75" customHeight="1" x14ac:dyDescent="0.25"/>
    <row r="90" spans="1:7" ht="15.75" customHeight="1" x14ac:dyDescent="0.25"/>
    <row r="91" spans="1:7" ht="15.75" customHeight="1" x14ac:dyDescent="0.25"/>
    <row r="92" spans="1:7" ht="15.75" customHeight="1" x14ac:dyDescent="0.25"/>
    <row r="93" spans="1:7" ht="15.75" customHeight="1" x14ac:dyDescent="0.25"/>
    <row r="94" spans="1:7" ht="15.75" customHeight="1" x14ac:dyDescent="0.25"/>
    <row r="95" spans="1:7" ht="15.75" customHeight="1" x14ac:dyDescent="0.25"/>
    <row r="96" spans="1:7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C1"/>
  <sheetViews>
    <sheetView workbookViewId="0"/>
  </sheetViews>
  <sheetFormatPr defaultColWidth="14.42578125" defaultRowHeight="15" customHeight="1" x14ac:dyDescent="0.25"/>
  <sheetData>
    <row r="1" spans="1:3" x14ac:dyDescent="0.25">
      <c r="A1" s="4" t="s">
        <v>367</v>
      </c>
      <c r="C1" s="4" t="s">
        <v>863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1001"/>
  <sheetViews>
    <sheetView workbookViewId="0"/>
  </sheetViews>
  <sheetFormatPr defaultColWidth="14.42578125" defaultRowHeight="15" customHeight="1" x14ac:dyDescent="0.25"/>
  <cols>
    <col min="1" max="1" width="8" customWidth="1"/>
    <col min="2" max="2" width="20" customWidth="1"/>
    <col min="3" max="3" width="12.140625" customWidth="1"/>
    <col min="4" max="4" width="13.28515625" customWidth="1"/>
    <col min="5" max="5" width="20.5703125" customWidth="1"/>
    <col min="6" max="6" width="8" customWidth="1"/>
  </cols>
  <sheetData>
    <row r="1" spans="1:5" ht="15.75" x14ac:dyDescent="0.25">
      <c r="A1" s="44" t="s">
        <v>864</v>
      </c>
      <c r="B1" s="45"/>
      <c r="C1" s="45"/>
      <c r="D1" s="45"/>
      <c r="E1" s="45"/>
    </row>
    <row r="2" spans="1:5" x14ac:dyDescent="0.25">
      <c r="A2" s="2"/>
      <c r="B2" s="3"/>
      <c r="C2" s="2"/>
      <c r="D2" s="2"/>
      <c r="E2" s="3"/>
    </row>
    <row r="3" spans="1:5" ht="22.5" customHeight="1" x14ac:dyDescent="0.25">
      <c r="A3" s="16" t="s">
        <v>865</v>
      </c>
      <c r="B3" s="17" t="s">
        <v>866</v>
      </c>
      <c r="C3" s="16" t="s">
        <v>46</v>
      </c>
      <c r="D3" s="16" t="s">
        <v>867</v>
      </c>
      <c r="E3" s="17" t="s">
        <v>868</v>
      </c>
    </row>
    <row r="4" spans="1:5" ht="22.5" customHeight="1" x14ac:dyDescent="0.25">
      <c r="A4" s="18">
        <v>1</v>
      </c>
      <c r="B4" s="18" t="s">
        <v>185</v>
      </c>
      <c r="C4" s="18"/>
      <c r="D4" s="16">
        <v>50</v>
      </c>
      <c r="E4" s="19">
        <v>1150000</v>
      </c>
    </row>
    <row r="5" spans="1:5" ht="22.5" customHeight="1" x14ac:dyDescent="0.25">
      <c r="A5" s="18">
        <v>2</v>
      </c>
      <c r="B5" s="18" t="s">
        <v>451</v>
      </c>
      <c r="C5" s="18"/>
      <c r="D5" s="16">
        <v>1</v>
      </c>
      <c r="E5" s="19">
        <v>350000</v>
      </c>
    </row>
    <row r="6" spans="1:5" ht="22.5" customHeight="1" x14ac:dyDescent="0.25">
      <c r="A6" s="18">
        <v>3</v>
      </c>
      <c r="B6" s="18" t="s">
        <v>454</v>
      </c>
      <c r="C6" s="18"/>
      <c r="D6" s="16" t="s">
        <v>869</v>
      </c>
      <c r="E6" s="19"/>
    </row>
    <row r="7" spans="1:5" ht="22.5" customHeight="1" x14ac:dyDescent="0.25">
      <c r="A7" s="18">
        <v>4</v>
      </c>
      <c r="B7" s="18" t="s">
        <v>457</v>
      </c>
      <c r="C7" s="18"/>
      <c r="D7" s="16" t="s">
        <v>870</v>
      </c>
      <c r="E7" s="19"/>
    </row>
    <row r="8" spans="1:5" ht="15" customHeight="1" x14ac:dyDescent="0.25">
      <c r="D8" s="20"/>
    </row>
    <row r="9" spans="1:5" ht="15" customHeight="1" x14ac:dyDescent="0.25">
      <c r="D9" s="20"/>
    </row>
    <row r="10" spans="1:5" ht="15" customHeight="1" x14ac:dyDescent="0.25">
      <c r="D10" s="20"/>
    </row>
    <row r="11" spans="1:5" ht="15" customHeight="1" x14ac:dyDescent="0.25">
      <c r="D11" s="20"/>
    </row>
    <row r="12" spans="1:5" ht="15" customHeight="1" x14ac:dyDescent="0.25">
      <c r="D12" s="20"/>
    </row>
    <row r="13" spans="1:5" ht="15" customHeight="1" x14ac:dyDescent="0.25">
      <c r="D13" s="20"/>
    </row>
    <row r="14" spans="1:5" ht="15" customHeight="1" x14ac:dyDescent="0.25">
      <c r="D14" s="20"/>
    </row>
    <row r="15" spans="1:5" ht="15" customHeight="1" x14ac:dyDescent="0.25">
      <c r="D15" s="20"/>
    </row>
    <row r="16" spans="1:5" ht="15" customHeight="1" x14ac:dyDescent="0.25">
      <c r="D16" s="20"/>
    </row>
    <row r="17" spans="4:4" x14ac:dyDescent="0.25">
      <c r="D17" s="2"/>
    </row>
    <row r="18" spans="4:4" x14ac:dyDescent="0.25">
      <c r="D18" s="2"/>
    </row>
    <row r="19" spans="4:4" x14ac:dyDescent="0.25">
      <c r="D19" s="2"/>
    </row>
    <row r="20" spans="4:4" x14ac:dyDescent="0.25">
      <c r="D20" s="2"/>
    </row>
    <row r="21" spans="4:4" x14ac:dyDescent="0.25">
      <c r="D21" s="2"/>
    </row>
    <row r="22" spans="4:4" ht="15.75" customHeight="1" x14ac:dyDescent="0.25">
      <c r="D22" s="2"/>
    </row>
    <row r="23" spans="4:4" ht="15.75" customHeight="1" x14ac:dyDescent="0.25">
      <c r="D23" s="2"/>
    </row>
    <row r="24" spans="4:4" ht="15.75" customHeight="1" x14ac:dyDescent="0.25">
      <c r="D24" s="2"/>
    </row>
    <row r="25" spans="4:4" ht="15.75" customHeight="1" x14ac:dyDescent="0.25">
      <c r="D25" s="2"/>
    </row>
    <row r="26" spans="4:4" ht="15.75" customHeight="1" x14ac:dyDescent="0.25">
      <c r="D26" s="2"/>
    </row>
    <row r="27" spans="4:4" ht="15.75" customHeight="1" x14ac:dyDescent="0.25">
      <c r="D27" s="2"/>
    </row>
    <row r="28" spans="4:4" ht="15.75" customHeight="1" x14ac:dyDescent="0.25">
      <c r="D28" s="2"/>
    </row>
    <row r="29" spans="4:4" ht="15.75" customHeight="1" x14ac:dyDescent="0.25">
      <c r="D29" s="2"/>
    </row>
    <row r="30" spans="4:4" ht="15.75" customHeight="1" x14ac:dyDescent="0.25">
      <c r="D30" s="2"/>
    </row>
    <row r="31" spans="4:4" ht="15.75" customHeight="1" x14ac:dyDescent="0.25">
      <c r="D31" s="2"/>
    </row>
    <row r="32" spans="4:4" ht="15.75" customHeight="1" x14ac:dyDescent="0.25">
      <c r="D32" s="2"/>
    </row>
    <row r="33" spans="4:4" ht="15.75" customHeight="1" x14ac:dyDescent="0.25">
      <c r="D33" s="2"/>
    </row>
    <row r="34" spans="4:4" ht="15.75" customHeight="1" x14ac:dyDescent="0.25">
      <c r="D34" s="2"/>
    </row>
    <row r="35" spans="4:4" ht="15.75" customHeight="1" x14ac:dyDescent="0.25">
      <c r="D35" s="2"/>
    </row>
    <row r="36" spans="4:4" ht="15.75" customHeight="1" x14ac:dyDescent="0.25">
      <c r="D36" s="2"/>
    </row>
    <row r="37" spans="4:4" ht="15.75" customHeight="1" x14ac:dyDescent="0.25">
      <c r="D37" s="2"/>
    </row>
    <row r="38" spans="4:4" ht="15.75" customHeight="1" x14ac:dyDescent="0.25">
      <c r="D38" s="2"/>
    </row>
    <row r="39" spans="4:4" ht="15.75" customHeight="1" x14ac:dyDescent="0.25">
      <c r="D39" s="2"/>
    </row>
    <row r="40" spans="4:4" ht="15.75" customHeight="1" x14ac:dyDescent="0.25">
      <c r="D40" s="2"/>
    </row>
    <row r="41" spans="4:4" ht="15.75" customHeight="1" x14ac:dyDescent="0.25">
      <c r="D41" s="2"/>
    </row>
    <row r="42" spans="4:4" ht="15.75" customHeight="1" x14ac:dyDescent="0.25">
      <c r="D42" s="2"/>
    </row>
    <row r="43" spans="4:4" ht="15.75" customHeight="1" x14ac:dyDescent="0.25">
      <c r="D43" s="2"/>
    </row>
    <row r="44" spans="4:4" ht="15.75" customHeight="1" x14ac:dyDescent="0.25">
      <c r="D44" s="2"/>
    </row>
    <row r="45" spans="4:4" ht="15.75" customHeight="1" x14ac:dyDescent="0.25">
      <c r="D45" s="2"/>
    </row>
    <row r="46" spans="4:4" ht="15.75" customHeight="1" x14ac:dyDescent="0.25">
      <c r="D46" s="2"/>
    </row>
    <row r="47" spans="4:4" ht="15.75" customHeight="1" x14ac:dyDescent="0.25">
      <c r="D47" s="2"/>
    </row>
    <row r="48" spans="4:4" ht="15.75" customHeight="1" x14ac:dyDescent="0.25">
      <c r="D48" s="2"/>
    </row>
    <row r="49" spans="4:4" ht="15.75" customHeight="1" x14ac:dyDescent="0.25">
      <c r="D49" s="2"/>
    </row>
    <row r="50" spans="4:4" ht="15.75" customHeight="1" x14ac:dyDescent="0.25">
      <c r="D50" s="2"/>
    </row>
    <row r="51" spans="4:4" ht="15.75" customHeight="1" x14ac:dyDescent="0.25">
      <c r="D51" s="2"/>
    </row>
    <row r="52" spans="4:4" ht="15.75" customHeight="1" x14ac:dyDescent="0.25">
      <c r="D52" s="2"/>
    </row>
    <row r="53" spans="4:4" ht="15.75" customHeight="1" x14ac:dyDescent="0.25">
      <c r="D53" s="2"/>
    </row>
    <row r="54" spans="4:4" ht="15.75" customHeight="1" x14ac:dyDescent="0.25">
      <c r="D54" s="2"/>
    </row>
    <row r="55" spans="4:4" ht="15.75" customHeight="1" x14ac:dyDescent="0.25">
      <c r="D55" s="2"/>
    </row>
    <row r="56" spans="4:4" ht="15.75" customHeight="1" x14ac:dyDescent="0.25">
      <c r="D56" s="2"/>
    </row>
    <row r="57" spans="4:4" ht="15.75" customHeight="1" x14ac:dyDescent="0.25">
      <c r="D57" s="2"/>
    </row>
    <row r="58" spans="4:4" ht="15.75" customHeight="1" x14ac:dyDescent="0.25">
      <c r="D58" s="2"/>
    </row>
    <row r="59" spans="4:4" ht="15.75" customHeight="1" x14ac:dyDescent="0.25">
      <c r="D59" s="2"/>
    </row>
    <row r="60" spans="4:4" ht="15.75" customHeight="1" x14ac:dyDescent="0.25">
      <c r="D60" s="2"/>
    </row>
    <row r="61" spans="4:4" ht="15.75" customHeight="1" x14ac:dyDescent="0.25">
      <c r="D61" s="2"/>
    </row>
    <row r="62" spans="4:4" ht="15.75" customHeight="1" x14ac:dyDescent="0.25">
      <c r="D62" s="2"/>
    </row>
    <row r="63" spans="4:4" ht="15.75" customHeight="1" x14ac:dyDescent="0.25">
      <c r="D63" s="2"/>
    </row>
    <row r="64" spans="4:4" ht="15.75" customHeight="1" x14ac:dyDescent="0.25">
      <c r="D64" s="2"/>
    </row>
    <row r="65" spans="4:4" ht="15.75" customHeight="1" x14ac:dyDescent="0.25">
      <c r="D65" s="2"/>
    </row>
    <row r="66" spans="4:4" ht="15.75" customHeight="1" x14ac:dyDescent="0.25">
      <c r="D66" s="2"/>
    </row>
    <row r="67" spans="4:4" ht="15.75" customHeight="1" x14ac:dyDescent="0.25">
      <c r="D67" s="2"/>
    </row>
    <row r="68" spans="4:4" ht="15.75" customHeight="1" x14ac:dyDescent="0.25">
      <c r="D68" s="2"/>
    </row>
    <row r="69" spans="4:4" ht="15.75" customHeight="1" x14ac:dyDescent="0.25">
      <c r="D69" s="2"/>
    </row>
    <row r="70" spans="4:4" ht="15.75" customHeight="1" x14ac:dyDescent="0.25">
      <c r="D70" s="2"/>
    </row>
    <row r="71" spans="4:4" ht="15.75" customHeight="1" x14ac:dyDescent="0.25">
      <c r="D71" s="2"/>
    </row>
    <row r="72" spans="4:4" ht="15.75" customHeight="1" x14ac:dyDescent="0.25">
      <c r="D72" s="2"/>
    </row>
    <row r="73" spans="4:4" ht="15.75" customHeight="1" x14ac:dyDescent="0.25">
      <c r="D73" s="2"/>
    </row>
    <row r="74" spans="4:4" ht="15.75" customHeight="1" x14ac:dyDescent="0.25">
      <c r="D74" s="2"/>
    </row>
    <row r="75" spans="4:4" ht="15.75" customHeight="1" x14ac:dyDescent="0.25">
      <c r="D75" s="2"/>
    </row>
    <row r="76" spans="4:4" ht="15.75" customHeight="1" x14ac:dyDescent="0.25">
      <c r="D76" s="2"/>
    </row>
    <row r="77" spans="4:4" ht="15.75" customHeight="1" x14ac:dyDescent="0.25">
      <c r="D77" s="2"/>
    </row>
    <row r="78" spans="4:4" ht="15.75" customHeight="1" x14ac:dyDescent="0.25">
      <c r="D78" s="2"/>
    </row>
    <row r="79" spans="4:4" ht="15.75" customHeight="1" x14ac:dyDescent="0.25">
      <c r="D79" s="2"/>
    </row>
    <row r="80" spans="4:4" ht="15.75" customHeight="1" x14ac:dyDescent="0.25">
      <c r="D80" s="2"/>
    </row>
    <row r="81" spans="4:4" ht="15.75" customHeight="1" x14ac:dyDescent="0.25">
      <c r="D81" s="2"/>
    </row>
    <row r="82" spans="4:4" ht="15.75" customHeight="1" x14ac:dyDescent="0.25">
      <c r="D82" s="2"/>
    </row>
    <row r="83" spans="4:4" ht="15.75" customHeight="1" x14ac:dyDescent="0.25">
      <c r="D83" s="2"/>
    </row>
    <row r="84" spans="4:4" ht="15.75" customHeight="1" x14ac:dyDescent="0.25">
      <c r="D84" s="2"/>
    </row>
    <row r="85" spans="4:4" ht="15.75" customHeight="1" x14ac:dyDescent="0.25">
      <c r="D85" s="2"/>
    </row>
    <row r="86" spans="4:4" ht="15.75" customHeight="1" x14ac:dyDescent="0.25">
      <c r="D86" s="2"/>
    </row>
    <row r="87" spans="4:4" ht="15.75" customHeight="1" x14ac:dyDescent="0.25">
      <c r="D87" s="2"/>
    </row>
    <row r="88" spans="4:4" ht="15.75" customHeight="1" x14ac:dyDescent="0.25">
      <c r="D88" s="2"/>
    </row>
    <row r="89" spans="4:4" ht="15.75" customHeight="1" x14ac:dyDescent="0.25">
      <c r="D89" s="2"/>
    </row>
    <row r="90" spans="4:4" ht="15.75" customHeight="1" x14ac:dyDescent="0.25">
      <c r="D90" s="2"/>
    </row>
    <row r="91" spans="4:4" ht="15.75" customHeight="1" x14ac:dyDescent="0.25">
      <c r="D91" s="2"/>
    </row>
    <row r="92" spans="4:4" ht="15.75" customHeight="1" x14ac:dyDescent="0.25">
      <c r="D92" s="2"/>
    </row>
    <row r="93" spans="4:4" ht="15.75" customHeight="1" x14ac:dyDescent="0.25">
      <c r="D93" s="2"/>
    </row>
    <row r="94" spans="4:4" ht="15.75" customHeight="1" x14ac:dyDescent="0.25">
      <c r="D94" s="2"/>
    </row>
    <row r="95" spans="4:4" ht="15.75" customHeight="1" x14ac:dyDescent="0.25">
      <c r="D95" s="2"/>
    </row>
    <row r="96" spans="4:4" ht="15.75" customHeight="1" x14ac:dyDescent="0.25">
      <c r="D96" s="2"/>
    </row>
    <row r="97" spans="4:4" ht="15.75" customHeight="1" x14ac:dyDescent="0.25">
      <c r="D97" s="2"/>
    </row>
    <row r="98" spans="4:4" ht="15.75" customHeight="1" x14ac:dyDescent="0.25">
      <c r="D98" s="2"/>
    </row>
    <row r="99" spans="4:4" ht="15.75" customHeight="1" x14ac:dyDescent="0.25">
      <c r="D99" s="2"/>
    </row>
    <row r="100" spans="4:4" ht="15.75" customHeight="1" x14ac:dyDescent="0.25">
      <c r="D100" s="2"/>
    </row>
    <row r="101" spans="4:4" ht="15.75" customHeight="1" x14ac:dyDescent="0.25">
      <c r="D101" s="2"/>
    </row>
    <row r="102" spans="4:4" ht="15.75" customHeight="1" x14ac:dyDescent="0.25">
      <c r="D102" s="2"/>
    </row>
    <row r="103" spans="4:4" ht="15.75" customHeight="1" x14ac:dyDescent="0.25">
      <c r="D103" s="2"/>
    </row>
    <row r="104" spans="4:4" ht="15.75" customHeight="1" x14ac:dyDescent="0.25">
      <c r="D104" s="2"/>
    </row>
    <row r="105" spans="4:4" ht="15.75" customHeight="1" x14ac:dyDescent="0.25">
      <c r="D105" s="2"/>
    </row>
    <row r="106" spans="4:4" ht="15.75" customHeight="1" x14ac:dyDescent="0.25">
      <c r="D106" s="2"/>
    </row>
    <row r="107" spans="4:4" ht="15.75" customHeight="1" x14ac:dyDescent="0.25">
      <c r="D107" s="2"/>
    </row>
    <row r="108" spans="4:4" ht="15.75" customHeight="1" x14ac:dyDescent="0.25">
      <c r="D108" s="2"/>
    </row>
    <row r="109" spans="4:4" ht="15.75" customHeight="1" x14ac:dyDescent="0.25">
      <c r="D109" s="2"/>
    </row>
    <row r="110" spans="4:4" ht="15.75" customHeight="1" x14ac:dyDescent="0.25">
      <c r="D110" s="2"/>
    </row>
    <row r="111" spans="4:4" ht="15.75" customHeight="1" x14ac:dyDescent="0.25">
      <c r="D111" s="2"/>
    </row>
    <row r="112" spans="4:4" ht="15.75" customHeight="1" x14ac:dyDescent="0.25">
      <c r="D112" s="2"/>
    </row>
    <row r="113" spans="4:4" ht="15.75" customHeight="1" x14ac:dyDescent="0.25">
      <c r="D113" s="2"/>
    </row>
    <row r="114" spans="4:4" ht="15.75" customHeight="1" x14ac:dyDescent="0.25">
      <c r="D114" s="2"/>
    </row>
    <row r="115" spans="4:4" ht="15.75" customHeight="1" x14ac:dyDescent="0.25">
      <c r="D115" s="2"/>
    </row>
    <row r="116" spans="4:4" ht="15.75" customHeight="1" x14ac:dyDescent="0.25">
      <c r="D116" s="2"/>
    </row>
    <row r="117" spans="4:4" ht="15.75" customHeight="1" x14ac:dyDescent="0.25">
      <c r="D117" s="2"/>
    </row>
    <row r="118" spans="4:4" ht="15.75" customHeight="1" x14ac:dyDescent="0.25">
      <c r="D118" s="2"/>
    </row>
    <row r="119" spans="4:4" ht="15.75" customHeight="1" x14ac:dyDescent="0.25">
      <c r="D119" s="2"/>
    </row>
    <row r="120" spans="4:4" ht="15.75" customHeight="1" x14ac:dyDescent="0.25">
      <c r="D120" s="2"/>
    </row>
    <row r="121" spans="4:4" ht="15.75" customHeight="1" x14ac:dyDescent="0.25">
      <c r="D121" s="2"/>
    </row>
    <row r="122" spans="4:4" ht="15.75" customHeight="1" x14ac:dyDescent="0.25">
      <c r="D122" s="2"/>
    </row>
    <row r="123" spans="4:4" ht="15.75" customHeight="1" x14ac:dyDescent="0.25">
      <c r="D123" s="2"/>
    </row>
    <row r="124" spans="4:4" ht="15.75" customHeight="1" x14ac:dyDescent="0.25">
      <c r="D124" s="2"/>
    </row>
    <row r="125" spans="4:4" ht="15.75" customHeight="1" x14ac:dyDescent="0.25">
      <c r="D125" s="2"/>
    </row>
    <row r="126" spans="4:4" ht="15.75" customHeight="1" x14ac:dyDescent="0.25">
      <c r="D126" s="2"/>
    </row>
    <row r="127" spans="4:4" ht="15.75" customHeight="1" x14ac:dyDescent="0.25">
      <c r="D127" s="2"/>
    </row>
    <row r="128" spans="4:4" ht="15.75" customHeight="1" x14ac:dyDescent="0.25">
      <c r="D128" s="2"/>
    </row>
    <row r="129" spans="4:4" ht="15.75" customHeight="1" x14ac:dyDescent="0.25">
      <c r="D129" s="2"/>
    </row>
    <row r="130" spans="4:4" ht="15.75" customHeight="1" x14ac:dyDescent="0.25">
      <c r="D130" s="2"/>
    </row>
    <row r="131" spans="4:4" ht="15.75" customHeight="1" x14ac:dyDescent="0.25">
      <c r="D131" s="2"/>
    </row>
    <row r="132" spans="4:4" ht="15.75" customHeight="1" x14ac:dyDescent="0.25">
      <c r="D132" s="2"/>
    </row>
    <row r="133" spans="4:4" ht="15.75" customHeight="1" x14ac:dyDescent="0.25">
      <c r="D133" s="2"/>
    </row>
    <row r="134" spans="4:4" ht="15.75" customHeight="1" x14ac:dyDescent="0.25">
      <c r="D134" s="2"/>
    </row>
    <row r="135" spans="4:4" ht="15.75" customHeight="1" x14ac:dyDescent="0.25">
      <c r="D135" s="2"/>
    </row>
    <row r="136" spans="4:4" ht="15.75" customHeight="1" x14ac:dyDescent="0.25">
      <c r="D136" s="2"/>
    </row>
    <row r="137" spans="4:4" ht="15.75" customHeight="1" x14ac:dyDescent="0.25">
      <c r="D137" s="2"/>
    </row>
    <row r="138" spans="4:4" ht="15.75" customHeight="1" x14ac:dyDescent="0.25">
      <c r="D138" s="2"/>
    </row>
    <row r="139" spans="4:4" ht="15.75" customHeight="1" x14ac:dyDescent="0.25">
      <c r="D139" s="2"/>
    </row>
    <row r="140" spans="4:4" ht="15.75" customHeight="1" x14ac:dyDescent="0.25">
      <c r="D140" s="2"/>
    </row>
    <row r="141" spans="4:4" ht="15.75" customHeight="1" x14ac:dyDescent="0.25">
      <c r="D141" s="2"/>
    </row>
    <row r="142" spans="4:4" ht="15.75" customHeight="1" x14ac:dyDescent="0.25">
      <c r="D142" s="2"/>
    </row>
    <row r="143" spans="4:4" ht="15.75" customHeight="1" x14ac:dyDescent="0.25">
      <c r="D143" s="2"/>
    </row>
    <row r="144" spans="4:4" ht="15.75" customHeight="1" x14ac:dyDescent="0.25">
      <c r="D144" s="2"/>
    </row>
    <row r="145" spans="4:4" ht="15.75" customHeight="1" x14ac:dyDescent="0.25">
      <c r="D145" s="2"/>
    </row>
    <row r="146" spans="4:4" ht="15.75" customHeight="1" x14ac:dyDescent="0.25">
      <c r="D146" s="2"/>
    </row>
    <row r="147" spans="4:4" ht="15.75" customHeight="1" x14ac:dyDescent="0.25">
      <c r="D147" s="2"/>
    </row>
    <row r="148" spans="4:4" ht="15.75" customHeight="1" x14ac:dyDescent="0.25">
      <c r="D148" s="2"/>
    </row>
    <row r="149" spans="4:4" ht="15.75" customHeight="1" x14ac:dyDescent="0.25">
      <c r="D149" s="2"/>
    </row>
    <row r="150" spans="4:4" ht="15.75" customHeight="1" x14ac:dyDescent="0.25">
      <c r="D150" s="2"/>
    </row>
    <row r="151" spans="4:4" ht="15.75" customHeight="1" x14ac:dyDescent="0.25">
      <c r="D151" s="2"/>
    </row>
    <row r="152" spans="4:4" ht="15.75" customHeight="1" x14ac:dyDescent="0.25">
      <c r="D152" s="2"/>
    </row>
    <row r="153" spans="4:4" ht="15.75" customHeight="1" x14ac:dyDescent="0.25">
      <c r="D153" s="2"/>
    </row>
    <row r="154" spans="4:4" ht="15.75" customHeight="1" x14ac:dyDescent="0.25">
      <c r="D154" s="2"/>
    </row>
    <row r="155" spans="4:4" ht="15.75" customHeight="1" x14ac:dyDescent="0.25">
      <c r="D155" s="2"/>
    </row>
    <row r="156" spans="4:4" ht="15.75" customHeight="1" x14ac:dyDescent="0.25">
      <c r="D156" s="2"/>
    </row>
    <row r="157" spans="4:4" ht="15.75" customHeight="1" x14ac:dyDescent="0.25">
      <c r="D157" s="2"/>
    </row>
    <row r="158" spans="4:4" ht="15.75" customHeight="1" x14ac:dyDescent="0.25">
      <c r="D158" s="2"/>
    </row>
    <row r="159" spans="4:4" ht="15.75" customHeight="1" x14ac:dyDescent="0.25">
      <c r="D159" s="2"/>
    </row>
    <row r="160" spans="4:4" ht="15.75" customHeight="1" x14ac:dyDescent="0.25">
      <c r="D160" s="2"/>
    </row>
    <row r="161" spans="4:4" ht="15.75" customHeight="1" x14ac:dyDescent="0.25">
      <c r="D161" s="2"/>
    </row>
    <row r="162" spans="4:4" ht="15.75" customHeight="1" x14ac:dyDescent="0.25">
      <c r="D162" s="2"/>
    </row>
    <row r="163" spans="4:4" ht="15.75" customHeight="1" x14ac:dyDescent="0.25">
      <c r="D163" s="2"/>
    </row>
    <row r="164" spans="4:4" ht="15.75" customHeight="1" x14ac:dyDescent="0.25">
      <c r="D164" s="2"/>
    </row>
    <row r="165" spans="4:4" ht="15.75" customHeight="1" x14ac:dyDescent="0.25">
      <c r="D165" s="2"/>
    </row>
    <row r="166" spans="4:4" ht="15.75" customHeight="1" x14ac:dyDescent="0.25">
      <c r="D166" s="2"/>
    </row>
    <row r="167" spans="4:4" ht="15.75" customHeight="1" x14ac:dyDescent="0.25">
      <c r="D167" s="2"/>
    </row>
    <row r="168" spans="4:4" ht="15.75" customHeight="1" x14ac:dyDescent="0.25">
      <c r="D168" s="2"/>
    </row>
    <row r="169" spans="4:4" ht="15.75" customHeight="1" x14ac:dyDescent="0.25">
      <c r="D169" s="2"/>
    </row>
    <row r="170" spans="4:4" ht="15.75" customHeight="1" x14ac:dyDescent="0.25">
      <c r="D170" s="2"/>
    </row>
    <row r="171" spans="4:4" ht="15.75" customHeight="1" x14ac:dyDescent="0.25">
      <c r="D171" s="2"/>
    </row>
    <row r="172" spans="4:4" ht="15.75" customHeight="1" x14ac:dyDescent="0.25">
      <c r="D172" s="2"/>
    </row>
    <row r="173" spans="4:4" ht="15.75" customHeight="1" x14ac:dyDescent="0.25">
      <c r="D173" s="2"/>
    </row>
    <row r="174" spans="4:4" ht="15.75" customHeight="1" x14ac:dyDescent="0.25">
      <c r="D174" s="2"/>
    </row>
    <row r="175" spans="4:4" ht="15.75" customHeight="1" x14ac:dyDescent="0.25">
      <c r="D175" s="2"/>
    </row>
    <row r="176" spans="4:4" ht="15.75" customHeight="1" x14ac:dyDescent="0.25">
      <c r="D176" s="2"/>
    </row>
    <row r="177" spans="4:4" ht="15.75" customHeight="1" x14ac:dyDescent="0.25">
      <c r="D177" s="2"/>
    </row>
    <row r="178" spans="4:4" ht="15.75" customHeight="1" x14ac:dyDescent="0.25">
      <c r="D178" s="2"/>
    </row>
    <row r="179" spans="4:4" ht="15.75" customHeight="1" x14ac:dyDescent="0.25">
      <c r="D179" s="2"/>
    </row>
    <row r="180" spans="4:4" ht="15.75" customHeight="1" x14ac:dyDescent="0.25">
      <c r="D180" s="2"/>
    </row>
    <row r="181" spans="4:4" ht="15.75" customHeight="1" x14ac:dyDescent="0.25">
      <c r="D181" s="2"/>
    </row>
    <row r="182" spans="4:4" ht="15.75" customHeight="1" x14ac:dyDescent="0.25">
      <c r="D182" s="2"/>
    </row>
    <row r="183" spans="4:4" ht="15.75" customHeight="1" x14ac:dyDescent="0.25">
      <c r="D183" s="2"/>
    </row>
    <row r="184" spans="4:4" ht="15.75" customHeight="1" x14ac:dyDescent="0.25">
      <c r="D184" s="2"/>
    </row>
    <row r="185" spans="4:4" ht="15.75" customHeight="1" x14ac:dyDescent="0.25">
      <c r="D185" s="2"/>
    </row>
    <row r="186" spans="4:4" ht="15.75" customHeight="1" x14ac:dyDescent="0.25">
      <c r="D186" s="2"/>
    </row>
    <row r="187" spans="4:4" ht="15.75" customHeight="1" x14ac:dyDescent="0.25">
      <c r="D187" s="2"/>
    </row>
    <row r="188" spans="4:4" ht="15.75" customHeight="1" x14ac:dyDescent="0.25">
      <c r="D188" s="2"/>
    </row>
    <row r="189" spans="4:4" ht="15.75" customHeight="1" x14ac:dyDescent="0.25">
      <c r="D189" s="2"/>
    </row>
    <row r="190" spans="4:4" ht="15.75" customHeight="1" x14ac:dyDescent="0.25">
      <c r="D190" s="2"/>
    </row>
    <row r="191" spans="4:4" ht="15.75" customHeight="1" x14ac:dyDescent="0.25">
      <c r="D191" s="2"/>
    </row>
    <row r="192" spans="4:4" ht="15.75" customHeight="1" x14ac:dyDescent="0.25">
      <c r="D192" s="2"/>
    </row>
    <row r="193" spans="4:4" ht="15.75" customHeight="1" x14ac:dyDescent="0.25">
      <c r="D193" s="2"/>
    </row>
    <row r="194" spans="4:4" ht="15.75" customHeight="1" x14ac:dyDescent="0.25">
      <c r="D194" s="2"/>
    </row>
    <row r="195" spans="4:4" ht="15.75" customHeight="1" x14ac:dyDescent="0.25">
      <c r="D195" s="2"/>
    </row>
    <row r="196" spans="4:4" ht="15.75" customHeight="1" x14ac:dyDescent="0.25">
      <c r="D196" s="2"/>
    </row>
    <row r="197" spans="4:4" ht="15.75" customHeight="1" x14ac:dyDescent="0.25">
      <c r="D197" s="2"/>
    </row>
    <row r="198" spans="4:4" ht="15.75" customHeight="1" x14ac:dyDescent="0.25">
      <c r="D198" s="2"/>
    </row>
    <row r="199" spans="4:4" ht="15.75" customHeight="1" x14ac:dyDescent="0.25">
      <c r="D199" s="2"/>
    </row>
    <row r="200" spans="4:4" ht="15.75" customHeight="1" x14ac:dyDescent="0.25">
      <c r="D200" s="2"/>
    </row>
    <row r="201" spans="4:4" ht="15.75" customHeight="1" x14ac:dyDescent="0.25">
      <c r="D201" s="2"/>
    </row>
    <row r="202" spans="4:4" ht="15.75" customHeight="1" x14ac:dyDescent="0.25">
      <c r="D202" s="2"/>
    </row>
    <row r="203" spans="4:4" ht="15.75" customHeight="1" x14ac:dyDescent="0.25">
      <c r="D203" s="2"/>
    </row>
    <row r="204" spans="4:4" ht="15.75" customHeight="1" x14ac:dyDescent="0.25">
      <c r="D204" s="2"/>
    </row>
    <row r="205" spans="4:4" ht="15.75" customHeight="1" x14ac:dyDescent="0.25">
      <c r="D205" s="2"/>
    </row>
    <row r="206" spans="4:4" ht="15.75" customHeight="1" x14ac:dyDescent="0.25">
      <c r="D206" s="2"/>
    </row>
    <row r="207" spans="4:4" ht="15.75" customHeight="1" x14ac:dyDescent="0.25">
      <c r="D207" s="2"/>
    </row>
    <row r="208" spans="4:4" ht="15.75" customHeight="1" x14ac:dyDescent="0.25">
      <c r="D208" s="2"/>
    </row>
    <row r="209" spans="4:4" ht="15.75" customHeight="1" x14ac:dyDescent="0.25">
      <c r="D209" s="2"/>
    </row>
    <row r="210" spans="4:4" ht="15.75" customHeight="1" x14ac:dyDescent="0.25">
      <c r="D210" s="2"/>
    </row>
    <row r="211" spans="4:4" ht="15.75" customHeight="1" x14ac:dyDescent="0.25">
      <c r="D211" s="2"/>
    </row>
    <row r="212" spans="4:4" ht="15.75" customHeight="1" x14ac:dyDescent="0.25">
      <c r="D212" s="2"/>
    </row>
    <row r="213" spans="4:4" ht="15.75" customHeight="1" x14ac:dyDescent="0.25">
      <c r="D213" s="2"/>
    </row>
    <row r="214" spans="4:4" ht="15.75" customHeight="1" x14ac:dyDescent="0.25">
      <c r="D214" s="2"/>
    </row>
    <row r="215" spans="4:4" ht="15.75" customHeight="1" x14ac:dyDescent="0.25">
      <c r="D215" s="2"/>
    </row>
    <row r="216" spans="4:4" ht="15.75" customHeight="1" x14ac:dyDescent="0.25">
      <c r="D216" s="2"/>
    </row>
    <row r="217" spans="4:4" ht="15.75" customHeight="1" x14ac:dyDescent="0.25">
      <c r="D217" s="2"/>
    </row>
    <row r="218" spans="4:4" ht="15.75" customHeight="1" x14ac:dyDescent="0.25">
      <c r="D218" s="2"/>
    </row>
    <row r="219" spans="4:4" ht="15.75" customHeight="1" x14ac:dyDescent="0.25">
      <c r="D219" s="2"/>
    </row>
    <row r="220" spans="4:4" ht="15.75" customHeight="1" x14ac:dyDescent="0.25">
      <c r="D220" s="2"/>
    </row>
    <row r="221" spans="4:4" ht="15.75" customHeight="1" x14ac:dyDescent="0.25">
      <c r="D221" s="2"/>
    </row>
    <row r="222" spans="4:4" ht="15.75" customHeight="1" x14ac:dyDescent="0.25">
      <c r="D222" s="2"/>
    </row>
    <row r="223" spans="4:4" ht="15.75" customHeight="1" x14ac:dyDescent="0.25">
      <c r="D223" s="2"/>
    </row>
    <row r="224" spans="4:4" ht="15.75" customHeight="1" x14ac:dyDescent="0.25">
      <c r="D224" s="2"/>
    </row>
    <row r="225" spans="4:4" ht="15.75" customHeight="1" x14ac:dyDescent="0.25">
      <c r="D225" s="2"/>
    </row>
    <row r="226" spans="4:4" ht="15.75" customHeight="1" x14ac:dyDescent="0.25">
      <c r="D226" s="2"/>
    </row>
    <row r="227" spans="4:4" ht="15.75" customHeight="1" x14ac:dyDescent="0.25">
      <c r="D227" s="2"/>
    </row>
    <row r="228" spans="4:4" ht="15.75" customHeight="1" x14ac:dyDescent="0.25">
      <c r="D228" s="2"/>
    </row>
    <row r="229" spans="4:4" ht="15.75" customHeight="1" x14ac:dyDescent="0.25">
      <c r="D229" s="2"/>
    </row>
    <row r="230" spans="4:4" ht="15.75" customHeight="1" x14ac:dyDescent="0.25">
      <c r="D230" s="2"/>
    </row>
    <row r="231" spans="4:4" ht="15.75" customHeight="1" x14ac:dyDescent="0.25">
      <c r="D231" s="2"/>
    </row>
    <row r="232" spans="4:4" ht="15.75" customHeight="1" x14ac:dyDescent="0.25">
      <c r="D232" s="2"/>
    </row>
    <row r="233" spans="4:4" ht="15.75" customHeight="1" x14ac:dyDescent="0.25">
      <c r="D233" s="2"/>
    </row>
    <row r="234" spans="4:4" ht="15.75" customHeight="1" x14ac:dyDescent="0.25">
      <c r="D234" s="2"/>
    </row>
    <row r="235" spans="4:4" ht="15.75" customHeight="1" x14ac:dyDescent="0.25">
      <c r="D235" s="2"/>
    </row>
    <row r="236" spans="4:4" ht="15.75" customHeight="1" x14ac:dyDescent="0.25">
      <c r="D236" s="2"/>
    </row>
    <row r="237" spans="4:4" ht="15.75" customHeight="1" x14ac:dyDescent="0.25">
      <c r="D237" s="2"/>
    </row>
    <row r="238" spans="4:4" ht="15.75" customHeight="1" x14ac:dyDescent="0.25">
      <c r="D238" s="2"/>
    </row>
    <row r="239" spans="4:4" ht="15.75" customHeight="1" x14ac:dyDescent="0.25">
      <c r="D239" s="2"/>
    </row>
    <row r="240" spans="4:4" ht="15.75" customHeight="1" x14ac:dyDescent="0.25">
      <c r="D240" s="2"/>
    </row>
    <row r="241" spans="4:4" ht="15.75" customHeight="1" x14ac:dyDescent="0.25">
      <c r="D241" s="2"/>
    </row>
    <row r="242" spans="4:4" ht="15.75" customHeight="1" x14ac:dyDescent="0.25">
      <c r="D242" s="2"/>
    </row>
    <row r="243" spans="4:4" ht="15.75" customHeight="1" x14ac:dyDescent="0.25">
      <c r="D243" s="2"/>
    </row>
    <row r="244" spans="4:4" ht="15.75" customHeight="1" x14ac:dyDescent="0.25">
      <c r="D244" s="2"/>
    </row>
    <row r="245" spans="4:4" ht="15.75" customHeight="1" x14ac:dyDescent="0.25">
      <c r="D245" s="2"/>
    </row>
    <row r="246" spans="4:4" ht="15.75" customHeight="1" x14ac:dyDescent="0.25">
      <c r="D246" s="2"/>
    </row>
    <row r="247" spans="4:4" ht="15.75" customHeight="1" x14ac:dyDescent="0.25">
      <c r="D247" s="2"/>
    </row>
    <row r="248" spans="4:4" ht="15.75" customHeight="1" x14ac:dyDescent="0.25">
      <c r="D248" s="2"/>
    </row>
    <row r="249" spans="4:4" ht="15.75" customHeight="1" x14ac:dyDescent="0.25">
      <c r="D249" s="2"/>
    </row>
    <row r="250" spans="4:4" ht="15.75" customHeight="1" x14ac:dyDescent="0.25">
      <c r="D250" s="2"/>
    </row>
    <row r="251" spans="4:4" ht="15.75" customHeight="1" x14ac:dyDescent="0.25">
      <c r="D251" s="2"/>
    </row>
    <row r="252" spans="4:4" ht="15.75" customHeight="1" x14ac:dyDescent="0.25">
      <c r="D252" s="2"/>
    </row>
    <row r="253" spans="4:4" ht="15.75" customHeight="1" x14ac:dyDescent="0.25">
      <c r="D253" s="2"/>
    </row>
    <row r="254" spans="4:4" ht="15.75" customHeight="1" x14ac:dyDescent="0.25">
      <c r="D254" s="2"/>
    </row>
    <row r="255" spans="4:4" ht="15.75" customHeight="1" x14ac:dyDescent="0.25">
      <c r="D255" s="2"/>
    </row>
    <row r="256" spans="4:4" ht="15.75" customHeight="1" x14ac:dyDescent="0.25">
      <c r="D256" s="2"/>
    </row>
    <row r="257" spans="4:4" ht="15.75" customHeight="1" x14ac:dyDescent="0.25">
      <c r="D257" s="2"/>
    </row>
    <row r="258" spans="4:4" ht="15.75" customHeight="1" x14ac:dyDescent="0.25">
      <c r="D258" s="2"/>
    </row>
    <row r="259" spans="4:4" ht="15.75" customHeight="1" x14ac:dyDescent="0.25">
      <c r="D259" s="2"/>
    </row>
    <row r="260" spans="4:4" ht="15.75" customHeight="1" x14ac:dyDescent="0.25">
      <c r="D260" s="2"/>
    </row>
    <row r="261" spans="4:4" ht="15.75" customHeight="1" x14ac:dyDescent="0.25">
      <c r="D261" s="2"/>
    </row>
    <row r="262" spans="4:4" ht="15.75" customHeight="1" x14ac:dyDescent="0.25">
      <c r="D262" s="2"/>
    </row>
    <row r="263" spans="4:4" ht="15.75" customHeight="1" x14ac:dyDescent="0.25">
      <c r="D263" s="2"/>
    </row>
    <row r="264" spans="4:4" ht="15.75" customHeight="1" x14ac:dyDescent="0.25">
      <c r="D264" s="2"/>
    </row>
    <row r="265" spans="4:4" ht="15.75" customHeight="1" x14ac:dyDescent="0.25">
      <c r="D265" s="2"/>
    </row>
    <row r="266" spans="4:4" ht="15.75" customHeight="1" x14ac:dyDescent="0.25">
      <c r="D266" s="2"/>
    </row>
    <row r="267" spans="4:4" ht="15.75" customHeight="1" x14ac:dyDescent="0.25">
      <c r="D267" s="2"/>
    </row>
    <row r="268" spans="4:4" ht="15.75" customHeight="1" x14ac:dyDescent="0.25">
      <c r="D268" s="2"/>
    </row>
    <row r="269" spans="4:4" ht="15.75" customHeight="1" x14ac:dyDescent="0.25">
      <c r="D269" s="2"/>
    </row>
    <row r="270" spans="4:4" ht="15.75" customHeight="1" x14ac:dyDescent="0.25">
      <c r="D270" s="2"/>
    </row>
    <row r="271" spans="4:4" ht="15.75" customHeight="1" x14ac:dyDescent="0.25">
      <c r="D271" s="2"/>
    </row>
    <row r="272" spans="4:4" ht="15.75" customHeight="1" x14ac:dyDescent="0.25">
      <c r="D272" s="2"/>
    </row>
    <row r="273" spans="4:4" ht="15.75" customHeight="1" x14ac:dyDescent="0.25">
      <c r="D273" s="2"/>
    </row>
    <row r="274" spans="4:4" ht="15.75" customHeight="1" x14ac:dyDescent="0.25">
      <c r="D274" s="2"/>
    </row>
    <row r="275" spans="4:4" ht="15.75" customHeight="1" x14ac:dyDescent="0.25">
      <c r="D275" s="2"/>
    </row>
    <row r="276" spans="4:4" ht="15.75" customHeight="1" x14ac:dyDescent="0.25">
      <c r="D276" s="2"/>
    </row>
    <row r="277" spans="4:4" ht="15.75" customHeight="1" x14ac:dyDescent="0.25">
      <c r="D277" s="2"/>
    </row>
    <row r="278" spans="4:4" ht="15.75" customHeight="1" x14ac:dyDescent="0.25">
      <c r="D278" s="2"/>
    </row>
    <row r="279" spans="4:4" ht="15.75" customHeight="1" x14ac:dyDescent="0.25">
      <c r="D279" s="2"/>
    </row>
    <row r="280" spans="4:4" ht="15.75" customHeight="1" x14ac:dyDescent="0.25">
      <c r="D280" s="2"/>
    </row>
    <row r="281" spans="4:4" ht="15.75" customHeight="1" x14ac:dyDescent="0.25">
      <c r="D281" s="2"/>
    </row>
    <row r="282" spans="4:4" ht="15.75" customHeight="1" x14ac:dyDescent="0.25">
      <c r="D282" s="2"/>
    </row>
    <row r="283" spans="4:4" ht="15.75" customHeight="1" x14ac:dyDescent="0.25">
      <c r="D283" s="2"/>
    </row>
    <row r="284" spans="4:4" ht="15.75" customHeight="1" x14ac:dyDescent="0.25">
      <c r="D284" s="2"/>
    </row>
    <row r="285" spans="4:4" ht="15.75" customHeight="1" x14ac:dyDescent="0.25">
      <c r="D285" s="2"/>
    </row>
    <row r="286" spans="4:4" ht="15.75" customHeight="1" x14ac:dyDescent="0.25">
      <c r="D286" s="2"/>
    </row>
    <row r="287" spans="4:4" ht="15.75" customHeight="1" x14ac:dyDescent="0.25">
      <c r="D287" s="2"/>
    </row>
    <row r="288" spans="4:4" ht="15.75" customHeight="1" x14ac:dyDescent="0.25">
      <c r="D288" s="2"/>
    </row>
    <row r="289" spans="4:4" ht="15.75" customHeight="1" x14ac:dyDescent="0.25">
      <c r="D289" s="2"/>
    </row>
    <row r="290" spans="4:4" ht="15.75" customHeight="1" x14ac:dyDescent="0.25">
      <c r="D290" s="2"/>
    </row>
    <row r="291" spans="4:4" ht="15.75" customHeight="1" x14ac:dyDescent="0.25">
      <c r="D291" s="2"/>
    </row>
    <row r="292" spans="4:4" ht="15.75" customHeight="1" x14ac:dyDescent="0.25">
      <c r="D292" s="2"/>
    </row>
    <row r="293" spans="4:4" ht="15.75" customHeight="1" x14ac:dyDescent="0.25">
      <c r="D293" s="2"/>
    </row>
    <row r="294" spans="4:4" ht="15.75" customHeight="1" x14ac:dyDescent="0.25">
      <c r="D294" s="2"/>
    </row>
    <row r="295" spans="4:4" ht="15.75" customHeight="1" x14ac:dyDescent="0.25">
      <c r="D295" s="2"/>
    </row>
    <row r="296" spans="4:4" ht="15.75" customHeight="1" x14ac:dyDescent="0.25">
      <c r="D296" s="2"/>
    </row>
    <row r="297" spans="4:4" ht="15.75" customHeight="1" x14ac:dyDescent="0.25">
      <c r="D297" s="2"/>
    </row>
    <row r="298" spans="4:4" ht="15.75" customHeight="1" x14ac:dyDescent="0.25">
      <c r="D298" s="2"/>
    </row>
    <row r="299" spans="4:4" ht="15.75" customHeight="1" x14ac:dyDescent="0.25">
      <c r="D299" s="2"/>
    </row>
    <row r="300" spans="4:4" ht="15.75" customHeight="1" x14ac:dyDescent="0.25">
      <c r="D300" s="2"/>
    </row>
    <row r="301" spans="4:4" ht="15.75" customHeight="1" x14ac:dyDescent="0.25">
      <c r="D301" s="2"/>
    </row>
    <row r="302" spans="4:4" ht="15.75" customHeight="1" x14ac:dyDescent="0.25">
      <c r="D302" s="2"/>
    </row>
    <row r="303" spans="4:4" ht="15.75" customHeight="1" x14ac:dyDescent="0.25">
      <c r="D303" s="2"/>
    </row>
    <row r="304" spans="4:4" ht="15.75" customHeight="1" x14ac:dyDescent="0.25">
      <c r="D304" s="2"/>
    </row>
    <row r="305" spans="4:4" ht="15.75" customHeight="1" x14ac:dyDescent="0.25">
      <c r="D305" s="2"/>
    </row>
    <row r="306" spans="4:4" ht="15.75" customHeight="1" x14ac:dyDescent="0.25">
      <c r="D306" s="2"/>
    </row>
    <row r="307" spans="4:4" ht="15.75" customHeight="1" x14ac:dyDescent="0.25">
      <c r="D307" s="2"/>
    </row>
    <row r="308" spans="4:4" ht="15.75" customHeight="1" x14ac:dyDescent="0.25">
      <c r="D308" s="2"/>
    </row>
    <row r="309" spans="4:4" ht="15.75" customHeight="1" x14ac:dyDescent="0.25">
      <c r="D309" s="2"/>
    </row>
    <row r="310" spans="4:4" ht="15.75" customHeight="1" x14ac:dyDescent="0.25">
      <c r="D310" s="2"/>
    </row>
    <row r="311" spans="4:4" ht="15.75" customHeight="1" x14ac:dyDescent="0.25">
      <c r="D311" s="2"/>
    </row>
    <row r="312" spans="4:4" ht="15.75" customHeight="1" x14ac:dyDescent="0.25">
      <c r="D312" s="2"/>
    </row>
    <row r="313" spans="4:4" ht="15.75" customHeight="1" x14ac:dyDescent="0.25">
      <c r="D313" s="2"/>
    </row>
    <row r="314" spans="4:4" ht="15.75" customHeight="1" x14ac:dyDescent="0.25">
      <c r="D314" s="2"/>
    </row>
    <row r="315" spans="4:4" ht="15.75" customHeight="1" x14ac:dyDescent="0.25">
      <c r="D315" s="2"/>
    </row>
    <row r="316" spans="4:4" ht="15.75" customHeight="1" x14ac:dyDescent="0.25">
      <c r="D316" s="2"/>
    </row>
    <row r="317" spans="4:4" ht="15.75" customHeight="1" x14ac:dyDescent="0.25">
      <c r="D317" s="2"/>
    </row>
    <row r="318" spans="4:4" ht="15.75" customHeight="1" x14ac:dyDescent="0.25">
      <c r="D318" s="2"/>
    </row>
    <row r="319" spans="4:4" ht="15.75" customHeight="1" x14ac:dyDescent="0.25">
      <c r="D319" s="2"/>
    </row>
    <row r="320" spans="4:4" ht="15.75" customHeight="1" x14ac:dyDescent="0.25">
      <c r="D320" s="2"/>
    </row>
    <row r="321" spans="4:4" ht="15.75" customHeight="1" x14ac:dyDescent="0.25">
      <c r="D321" s="2"/>
    </row>
    <row r="322" spans="4:4" ht="15.75" customHeight="1" x14ac:dyDescent="0.25">
      <c r="D322" s="2"/>
    </row>
    <row r="323" spans="4:4" ht="15.75" customHeight="1" x14ac:dyDescent="0.25">
      <c r="D323" s="2"/>
    </row>
    <row r="324" spans="4:4" ht="15.75" customHeight="1" x14ac:dyDescent="0.25">
      <c r="D324" s="2"/>
    </row>
    <row r="325" spans="4:4" ht="15.75" customHeight="1" x14ac:dyDescent="0.25">
      <c r="D325" s="2"/>
    </row>
    <row r="326" spans="4:4" ht="15.75" customHeight="1" x14ac:dyDescent="0.25">
      <c r="D326" s="2"/>
    </row>
    <row r="327" spans="4:4" ht="15.75" customHeight="1" x14ac:dyDescent="0.25">
      <c r="D327" s="2"/>
    </row>
    <row r="328" spans="4:4" ht="15.75" customHeight="1" x14ac:dyDescent="0.25">
      <c r="D328" s="2"/>
    </row>
    <row r="329" spans="4:4" ht="15.75" customHeight="1" x14ac:dyDescent="0.25">
      <c r="D329" s="2"/>
    </row>
    <row r="330" spans="4:4" ht="15.75" customHeight="1" x14ac:dyDescent="0.25">
      <c r="D330" s="2"/>
    </row>
    <row r="331" spans="4:4" ht="15.75" customHeight="1" x14ac:dyDescent="0.25">
      <c r="D331" s="2"/>
    </row>
    <row r="332" spans="4:4" ht="15.75" customHeight="1" x14ac:dyDescent="0.25">
      <c r="D332" s="2"/>
    </row>
    <row r="333" spans="4:4" ht="15.75" customHeight="1" x14ac:dyDescent="0.25">
      <c r="D333" s="2"/>
    </row>
    <row r="334" spans="4:4" ht="15.75" customHeight="1" x14ac:dyDescent="0.25">
      <c r="D334" s="2"/>
    </row>
    <row r="335" spans="4:4" ht="15.75" customHeight="1" x14ac:dyDescent="0.25">
      <c r="D335" s="2"/>
    </row>
    <row r="336" spans="4:4" ht="15.75" customHeight="1" x14ac:dyDescent="0.25">
      <c r="D336" s="2"/>
    </row>
    <row r="337" spans="4:4" ht="15.75" customHeight="1" x14ac:dyDescent="0.25">
      <c r="D337" s="2"/>
    </row>
    <row r="338" spans="4:4" ht="15.75" customHeight="1" x14ac:dyDescent="0.25">
      <c r="D338" s="2"/>
    </row>
    <row r="339" spans="4:4" ht="15.75" customHeight="1" x14ac:dyDescent="0.25">
      <c r="D339" s="2"/>
    </row>
    <row r="340" spans="4:4" ht="15.75" customHeight="1" x14ac:dyDescent="0.25">
      <c r="D340" s="2"/>
    </row>
    <row r="341" spans="4:4" ht="15.75" customHeight="1" x14ac:dyDescent="0.25">
      <c r="D341" s="2"/>
    </row>
    <row r="342" spans="4:4" ht="15.75" customHeight="1" x14ac:dyDescent="0.25">
      <c r="D342" s="2"/>
    </row>
    <row r="343" spans="4:4" ht="15.75" customHeight="1" x14ac:dyDescent="0.25">
      <c r="D343" s="2"/>
    </row>
    <row r="344" spans="4:4" ht="15.75" customHeight="1" x14ac:dyDescent="0.25">
      <c r="D344" s="2"/>
    </row>
    <row r="345" spans="4:4" ht="15.75" customHeight="1" x14ac:dyDescent="0.25">
      <c r="D345" s="2"/>
    </row>
    <row r="346" spans="4:4" ht="15.75" customHeight="1" x14ac:dyDescent="0.25">
      <c r="D346" s="2"/>
    </row>
    <row r="347" spans="4:4" ht="15.75" customHeight="1" x14ac:dyDescent="0.25">
      <c r="D347" s="2"/>
    </row>
    <row r="348" spans="4:4" ht="15.75" customHeight="1" x14ac:dyDescent="0.25">
      <c r="D348" s="2"/>
    </row>
    <row r="349" spans="4:4" ht="15.75" customHeight="1" x14ac:dyDescent="0.25">
      <c r="D349" s="2"/>
    </row>
    <row r="350" spans="4:4" ht="15.75" customHeight="1" x14ac:dyDescent="0.25">
      <c r="D350" s="2"/>
    </row>
    <row r="351" spans="4:4" ht="15.75" customHeight="1" x14ac:dyDescent="0.25">
      <c r="D351" s="2"/>
    </row>
    <row r="352" spans="4:4" ht="15.75" customHeight="1" x14ac:dyDescent="0.25">
      <c r="D352" s="2"/>
    </row>
    <row r="353" spans="4:4" ht="15.75" customHeight="1" x14ac:dyDescent="0.25">
      <c r="D353" s="2"/>
    </row>
    <row r="354" spans="4:4" ht="15.75" customHeight="1" x14ac:dyDescent="0.25">
      <c r="D354" s="2"/>
    </row>
    <row r="355" spans="4:4" ht="15.75" customHeight="1" x14ac:dyDescent="0.25">
      <c r="D355" s="2"/>
    </row>
    <row r="356" spans="4:4" ht="15.75" customHeight="1" x14ac:dyDescent="0.25">
      <c r="D356" s="2"/>
    </row>
    <row r="357" spans="4:4" ht="15.75" customHeight="1" x14ac:dyDescent="0.25">
      <c r="D357" s="2"/>
    </row>
    <row r="358" spans="4:4" ht="15.75" customHeight="1" x14ac:dyDescent="0.25">
      <c r="D358" s="2"/>
    </row>
    <row r="359" spans="4:4" ht="15.75" customHeight="1" x14ac:dyDescent="0.25">
      <c r="D359" s="2"/>
    </row>
    <row r="360" spans="4:4" ht="15.75" customHeight="1" x14ac:dyDescent="0.25">
      <c r="D360" s="2"/>
    </row>
    <row r="361" spans="4:4" ht="15.75" customHeight="1" x14ac:dyDescent="0.25">
      <c r="D361" s="2"/>
    </row>
    <row r="362" spans="4:4" ht="15.75" customHeight="1" x14ac:dyDescent="0.25">
      <c r="D362" s="2"/>
    </row>
    <row r="363" spans="4:4" ht="15.75" customHeight="1" x14ac:dyDescent="0.25">
      <c r="D363" s="2"/>
    </row>
    <row r="364" spans="4:4" ht="15.75" customHeight="1" x14ac:dyDescent="0.25">
      <c r="D364" s="2"/>
    </row>
    <row r="365" spans="4:4" ht="15.75" customHeight="1" x14ac:dyDescent="0.25">
      <c r="D365" s="2"/>
    </row>
    <row r="366" spans="4:4" ht="15.75" customHeight="1" x14ac:dyDescent="0.25">
      <c r="D366" s="2"/>
    </row>
    <row r="367" spans="4:4" ht="15.75" customHeight="1" x14ac:dyDescent="0.25">
      <c r="D367" s="2"/>
    </row>
    <row r="368" spans="4:4" ht="15.75" customHeight="1" x14ac:dyDescent="0.25">
      <c r="D368" s="2"/>
    </row>
    <row r="369" spans="4:4" ht="15.75" customHeight="1" x14ac:dyDescent="0.25">
      <c r="D369" s="2"/>
    </row>
    <row r="370" spans="4:4" ht="15.75" customHeight="1" x14ac:dyDescent="0.25">
      <c r="D370" s="2"/>
    </row>
    <row r="371" spans="4:4" ht="15.75" customHeight="1" x14ac:dyDescent="0.25">
      <c r="D371" s="2"/>
    </row>
    <row r="372" spans="4:4" ht="15.75" customHeight="1" x14ac:dyDescent="0.25">
      <c r="D372" s="2"/>
    </row>
    <row r="373" spans="4:4" ht="15.75" customHeight="1" x14ac:dyDescent="0.25">
      <c r="D373" s="2"/>
    </row>
    <row r="374" spans="4:4" ht="15.75" customHeight="1" x14ac:dyDescent="0.25">
      <c r="D374" s="2"/>
    </row>
    <row r="375" spans="4:4" ht="15.75" customHeight="1" x14ac:dyDescent="0.25">
      <c r="D375" s="2"/>
    </row>
    <row r="376" spans="4:4" ht="15.75" customHeight="1" x14ac:dyDescent="0.25">
      <c r="D376" s="2"/>
    </row>
    <row r="377" spans="4:4" ht="15.75" customHeight="1" x14ac:dyDescent="0.25">
      <c r="D377" s="2"/>
    </row>
    <row r="378" spans="4:4" ht="15.75" customHeight="1" x14ac:dyDescent="0.25">
      <c r="D378" s="2"/>
    </row>
    <row r="379" spans="4:4" ht="15.75" customHeight="1" x14ac:dyDescent="0.25">
      <c r="D379" s="2"/>
    </row>
    <row r="380" spans="4:4" ht="15.75" customHeight="1" x14ac:dyDescent="0.25">
      <c r="D380" s="2"/>
    </row>
    <row r="381" spans="4:4" ht="15.75" customHeight="1" x14ac:dyDescent="0.25">
      <c r="D381" s="2"/>
    </row>
    <row r="382" spans="4:4" ht="15.75" customHeight="1" x14ac:dyDescent="0.25">
      <c r="D382" s="2"/>
    </row>
    <row r="383" spans="4:4" ht="15.75" customHeight="1" x14ac:dyDescent="0.25">
      <c r="D383" s="2"/>
    </row>
    <row r="384" spans="4:4" ht="15.75" customHeight="1" x14ac:dyDescent="0.25">
      <c r="D384" s="2"/>
    </row>
    <row r="385" spans="4:4" ht="15.75" customHeight="1" x14ac:dyDescent="0.25">
      <c r="D385" s="2"/>
    </row>
    <row r="386" spans="4:4" ht="15.75" customHeight="1" x14ac:dyDescent="0.25">
      <c r="D386" s="2"/>
    </row>
    <row r="387" spans="4:4" ht="15.75" customHeight="1" x14ac:dyDescent="0.25">
      <c r="D387" s="2"/>
    </row>
    <row r="388" spans="4:4" ht="15.75" customHeight="1" x14ac:dyDescent="0.25">
      <c r="D388" s="2"/>
    </row>
    <row r="389" spans="4:4" ht="15.75" customHeight="1" x14ac:dyDescent="0.25">
      <c r="D389" s="2"/>
    </row>
    <row r="390" spans="4:4" ht="15.75" customHeight="1" x14ac:dyDescent="0.25">
      <c r="D390" s="2"/>
    </row>
    <row r="391" spans="4:4" ht="15.75" customHeight="1" x14ac:dyDescent="0.25">
      <c r="D391" s="2"/>
    </row>
    <row r="392" spans="4:4" ht="15.75" customHeight="1" x14ac:dyDescent="0.25">
      <c r="D392" s="2"/>
    </row>
    <row r="393" spans="4:4" ht="15.75" customHeight="1" x14ac:dyDescent="0.25">
      <c r="D393" s="2"/>
    </row>
    <row r="394" spans="4:4" ht="15.75" customHeight="1" x14ac:dyDescent="0.25">
      <c r="D394" s="2"/>
    </row>
    <row r="395" spans="4:4" ht="15.75" customHeight="1" x14ac:dyDescent="0.25">
      <c r="D395" s="2"/>
    </row>
    <row r="396" spans="4:4" ht="15.75" customHeight="1" x14ac:dyDescent="0.25">
      <c r="D396" s="2"/>
    </row>
    <row r="397" spans="4:4" ht="15.75" customHeight="1" x14ac:dyDescent="0.25">
      <c r="D397" s="2"/>
    </row>
    <row r="398" spans="4:4" ht="15.75" customHeight="1" x14ac:dyDescent="0.25">
      <c r="D398" s="2"/>
    </row>
    <row r="399" spans="4:4" ht="15.75" customHeight="1" x14ac:dyDescent="0.25">
      <c r="D399" s="2"/>
    </row>
    <row r="400" spans="4:4" ht="15.75" customHeight="1" x14ac:dyDescent="0.25">
      <c r="D400" s="2"/>
    </row>
    <row r="401" spans="4:4" ht="15.75" customHeight="1" x14ac:dyDescent="0.25">
      <c r="D401" s="2"/>
    </row>
    <row r="402" spans="4:4" ht="15.75" customHeight="1" x14ac:dyDescent="0.25">
      <c r="D402" s="2"/>
    </row>
    <row r="403" spans="4:4" ht="15.75" customHeight="1" x14ac:dyDescent="0.25">
      <c r="D403" s="2"/>
    </row>
    <row r="404" spans="4:4" ht="15.75" customHeight="1" x14ac:dyDescent="0.25">
      <c r="D404" s="2"/>
    </row>
    <row r="405" spans="4:4" ht="15.75" customHeight="1" x14ac:dyDescent="0.25">
      <c r="D405" s="2"/>
    </row>
    <row r="406" spans="4:4" ht="15.75" customHeight="1" x14ac:dyDescent="0.25">
      <c r="D406" s="2"/>
    </row>
    <row r="407" spans="4:4" ht="15.75" customHeight="1" x14ac:dyDescent="0.25">
      <c r="D407" s="2"/>
    </row>
    <row r="408" spans="4:4" ht="15.75" customHeight="1" x14ac:dyDescent="0.25">
      <c r="D408" s="2"/>
    </row>
    <row r="409" spans="4:4" ht="15.75" customHeight="1" x14ac:dyDescent="0.25">
      <c r="D409" s="2"/>
    </row>
    <row r="410" spans="4:4" ht="15.75" customHeight="1" x14ac:dyDescent="0.25">
      <c r="D410" s="2"/>
    </row>
    <row r="411" spans="4:4" ht="15.75" customHeight="1" x14ac:dyDescent="0.25">
      <c r="D411" s="2"/>
    </row>
    <row r="412" spans="4:4" ht="15.75" customHeight="1" x14ac:dyDescent="0.25">
      <c r="D412" s="2"/>
    </row>
    <row r="413" spans="4:4" ht="15.75" customHeight="1" x14ac:dyDescent="0.25">
      <c r="D413" s="2"/>
    </row>
    <row r="414" spans="4:4" ht="15.75" customHeight="1" x14ac:dyDescent="0.25">
      <c r="D414" s="2"/>
    </row>
    <row r="415" spans="4:4" ht="15.75" customHeight="1" x14ac:dyDescent="0.25">
      <c r="D415" s="2"/>
    </row>
    <row r="416" spans="4:4" ht="15.75" customHeight="1" x14ac:dyDescent="0.25">
      <c r="D416" s="2"/>
    </row>
    <row r="417" spans="4:4" ht="15.75" customHeight="1" x14ac:dyDescent="0.25">
      <c r="D417" s="2"/>
    </row>
    <row r="418" spans="4:4" ht="15.75" customHeight="1" x14ac:dyDescent="0.25">
      <c r="D418" s="2"/>
    </row>
    <row r="419" spans="4:4" ht="15.75" customHeight="1" x14ac:dyDescent="0.25">
      <c r="D419" s="2"/>
    </row>
    <row r="420" spans="4:4" ht="15.75" customHeight="1" x14ac:dyDescent="0.25">
      <c r="D420" s="2"/>
    </row>
    <row r="421" spans="4:4" ht="15.75" customHeight="1" x14ac:dyDescent="0.25">
      <c r="D421" s="2"/>
    </row>
    <row r="422" spans="4:4" ht="15.75" customHeight="1" x14ac:dyDescent="0.25">
      <c r="D422" s="2"/>
    </row>
    <row r="423" spans="4:4" ht="15.75" customHeight="1" x14ac:dyDescent="0.25">
      <c r="D423" s="2"/>
    </row>
    <row r="424" spans="4:4" ht="15.75" customHeight="1" x14ac:dyDescent="0.25">
      <c r="D424" s="2"/>
    </row>
    <row r="425" spans="4:4" ht="15.75" customHeight="1" x14ac:dyDescent="0.25">
      <c r="D425" s="2"/>
    </row>
    <row r="426" spans="4:4" ht="15.75" customHeight="1" x14ac:dyDescent="0.25">
      <c r="D426" s="2"/>
    </row>
    <row r="427" spans="4:4" ht="15.75" customHeight="1" x14ac:dyDescent="0.25">
      <c r="D427" s="2"/>
    </row>
    <row r="428" spans="4:4" ht="15.75" customHeight="1" x14ac:dyDescent="0.25">
      <c r="D428" s="2"/>
    </row>
    <row r="429" spans="4:4" ht="15.75" customHeight="1" x14ac:dyDescent="0.25">
      <c r="D429" s="2"/>
    </row>
    <row r="430" spans="4:4" ht="15.75" customHeight="1" x14ac:dyDescent="0.25">
      <c r="D430" s="2"/>
    </row>
    <row r="431" spans="4:4" ht="15.75" customHeight="1" x14ac:dyDescent="0.25">
      <c r="D431" s="2"/>
    </row>
    <row r="432" spans="4:4" ht="15.75" customHeight="1" x14ac:dyDescent="0.25">
      <c r="D432" s="2"/>
    </row>
    <row r="433" spans="4:4" ht="15.75" customHeight="1" x14ac:dyDescent="0.25">
      <c r="D433" s="2"/>
    </row>
    <row r="434" spans="4:4" ht="15.75" customHeight="1" x14ac:dyDescent="0.25">
      <c r="D434" s="2"/>
    </row>
    <row r="435" spans="4:4" ht="15.75" customHeight="1" x14ac:dyDescent="0.25">
      <c r="D435" s="2"/>
    </row>
    <row r="436" spans="4:4" ht="15.75" customHeight="1" x14ac:dyDescent="0.25">
      <c r="D436" s="2"/>
    </row>
    <row r="437" spans="4:4" ht="15.75" customHeight="1" x14ac:dyDescent="0.25">
      <c r="D437" s="2"/>
    </row>
    <row r="438" spans="4:4" ht="15.75" customHeight="1" x14ac:dyDescent="0.25">
      <c r="D438" s="2"/>
    </row>
    <row r="439" spans="4:4" ht="15.75" customHeight="1" x14ac:dyDescent="0.25">
      <c r="D439" s="2"/>
    </row>
    <row r="440" spans="4:4" ht="15.75" customHeight="1" x14ac:dyDescent="0.25">
      <c r="D440" s="2"/>
    </row>
    <row r="441" spans="4:4" ht="15.75" customHeight="1" x14ac:dyDescent="0.25">
      <c r="D441" s="2"/>
    </row>
    <row r="442" spans="4:4" ht="15.75" customHeight="1" x14ac:dyDescent="0.25">
      <c r="D442" s="2"/>
    </row>
    <row r="443" spans="4:4" ht="15.75" customHeight="1" x14ac:dyDescent="0.25">
      <c r="D443" s="2"/>
    </row>
    <row r="444" spans="4:4" ht="15.75" customHeight="1" x14ac:dyDescent="0.25">
      <c r="D444" s="2"/>
    </row>
    <row r="445" spans="4:4" ht="15.75" customHeight="1" x14ac:dyDescent="0.25">
      <c r="D445" s="2"/>
    </row>
    <row r="446" spans="4:4" ht="15.75" customHeight="1" x14ac:dyDescent="0.25">
      <c r="D446" s="2"/>
    </row>
    <row r="447" spans="4:4" ht="15.75" customHeight="1" x14ac:dyDescent="0.25">
      <c r="D447" s="2"/>
    </row>
    <row r="448" spans="4:4" ht="15.75" customHeight="1" x14ac:dyDescent="0.25">
      <c r="D448" s="2"/>
    </row>
    <row r="449" spans="4:4" ht="15.75" customHeight="1" x14ac:dyDescent="0.25">
      <c r="D449" s="2"/>
    </row>
    <row r="450" spans="4:4" ht="15.75" customHeight="1" x14ac:dyDescent="0.25">
      <c r="D450" s="2"/>
    </row>
    <row r="451" spans="4:4" ht="15.75" customHeight="1" x14ac:dyDescent="0.25">
      <c r="D451" s="2"/>
    </row>
    <row r="452" spans="4:4" ht="15.75" customHeight="1" x14ac:dyDescent="0.25">
      <c r="D452" s="2"/>
    </row>
    <row r="453" spans="4:4" ht="15.75" customHeight="1" x14ac:dyDescent="0.25">
      <c r="D453" s="2"/>
    </row>
    <row r="454" spans="4:4" ht="15.75" customHeight="1" x14ac:dyDescent="0.25">
      <c r="D454" s="2"/>
    </row>
    <row r="455" spans="4:4" ht="15.75" customHeight="1" x14ac:dyDescent="0.25">
      <c r="D455" s="2"/>
    </row>
    <row r="456" spans="4:4" ht="15.75" customHeight="1" x14ac:dyDescent="0.25">
      <c r="D456" s="2"/>
    </row>
    <row r="457" spans="4:4" ht="15.75" customHeight="1" x14ac:dyDescent="0.25">
      <c r="D457" s="2"/>
    </row>
    <row r="458" spans="4:4" ht="15.75" customHeight="1" x14ac:dyDescent="0.25">
      <c r="D458" s="2"/>
    </row>
    <row r="459" spans="4:4" ht="15.75" customHeight="1" x14ac:dyDescent="0.25">
      <c r="D459" s="2"/>
    </row>
    <row r="460" spans="4:4" ht="15.75" customHeight="1" x14ac:dyDescent="0.25">
      <c r="D460" s="2"/>
    </row>
    <row r="461" spans="4:4" ht="15.75" customHeight="1" x14ac:dyDescent="0.25">
      <c r="D461" s="2"/>
    </row>
    <row r="462" spans="4:4" ht="15.75" customHeight="1" x14ac:dyDescent="0.25">
      <c r="D462" s="2"/>
    </row>
    <row r="463" spans="4:4" ht="15.75" customHeight="1" x14ac:dyDescent="0.25">
      <c r="D463" s="2"/>
    </row>
    <row r="464" spans="4:4" ht="15.75" customHeight="1" x14ac:dyDescent="0.25">
      <c r="D464" s="2"/>
    </row>
    <row r="465" spans="4:4" ht="15.75" customHeight="1" x14ac:dyDescent="0.25">
      <c r="D465" s="2"/>
    </row>
    <row r="466" spans="4:4" ht="15.75" customHeight="1" x14ac:dyDescent="0.25">
      <c r="D466" s="2"/>
    </row>
    <row r="467" spans="4:4" ht="15.75" customHeight="1" x14ac:dyDescent="0.25">
      <c r="D467" s="2"/>
    </row>
    <row r="468" spans="4:4" ht="15.75" customHeight="1" x14ac:dyDescent="0.25">
      <c r="D468" s="2"/>
    </row>
    <row r="469" spans="4:4" ht="15.75" customHeight="1" x14ac:dyDescent="0.25">
      <c r="D469" s="2"/>
    </row>
    <row r="470" spans="4:4" ht="15.75" customHeight="1" x14ac:dyDescent="0.25">
      <c r="D470" s="2"/>
    </row>
    <row r="471" spans="4:4" ht="15.75" customHeight="1" x14ac:dyDescent="0.25">
      <c r="D471" s="2"/>
    </row>
    <row r="472" spans="4:4" ht="15.75" customHeight="1" x14ac:dyDescent="0.25">
      <c r="D472" s="2"/>
    </row>
    <row r="473" spans="4:4" ht="15.75" customHeight="1" x14ac:dyDescent="0.25">
      <c r="D473" s="2"/>
    </row>
    <row r="474" spans="4:4" ht="15.75" customHeight="1" x14ac:dyDescent="0.25">
      <c r="D474" s="2"/>
    </row>
    <row r="475" spans="4:4" ht="15.75" customHeight="1" x14ac:dyDescent="0.25">
      <c r="D475" s="2"/>
    </row>
    <row r="476" spans="4:4" ht="15.75" customHeight="1" x14ac:dyDescent="0.25">
      <c r="D476" s="2"/>
    </row>
    <row r="477" spans="4:4" ht="15.75" customHeight="1" x14ac:dyDescent="0.25">
      <c r="D477" s="2"/>
    </row>
    <row r="478" spans="4:4" ht="15.75" customHeight="1" x14ac:dyDescent="0.25">
      <c r="D478" s="2"/>
    </row>
    <row r="479" spans="4:4" ht="15.75" customHeight="1" x14ac:dyDescent="0.25">
      <c r="D479" s="2"/>
    </row>
    <row r="480" spans="4:4" ht="15.75" customHeight="1" x14ac:dyDescent="0.25">
      <c r="D480" s="2"/>
    </row>
    <row r="481" spans="4:4" ht="15.75" customHeight="1" x14ac:dyDescent="0.25">
      <c r="D481" s="2"/>
    </row>
    <row r="482" spans="4:4" ht="15.75" customHeight="1" x14ac:dyDescent="0.25">
      <c r="D482" s="2"/>
    </row>
    <row r="483" spans="4:4" ht="15.75" customHeight="1" x14ac:dyDescent="0.25">
      <c r="D483" s="2"/>
    </row>
    <row r="484" spans="4:4" ht="15.75" customHeight="1" x14ac:dyDescent="0.25">
      <c r="D484" s="2"/>
    </row>
    <row r="485" spans="4:4" ht="15.75" customHeight="1" x14ac:dyDescent="0.25">
      <c r="D485" s="2"/>
    </row>
    <row r="486" spans="4:4" ht="15.75" customHeight="1" x14ac:dyDescent="0.25">
      <c r="D486" s="2"/>
    </row>
    <row r="487" spans="4:4" ht="15.75" customHeight="1" x14ac:dyDescent="0.25">
      <c r="D487" s="2"/>
    </row>
    <row r="488" spans="4:4" ht="15.75" customHeight="1" x14ac:dyDescent="0.25">
      <c r="D488" s="2"/>
    </row>
    <row r="489" spans="4:4" ht="15.75" customHeight="1" x14ac:dyDescent="0.25">
      <c r="D489" s="2"/>
    </row>
    <row r="490" spans="4:4" ht="15.75" customHeight="1" x14ac:dyDescent="0.25">
      <c r="D490" s="2"/>
    </row>
    <row r="491" spans="4:4" ht="15.75" customHeight="1" x14ac:dyDescent="0.25">
      <c r="D491" s="2"/>
    </row>
    <row r="492" spans="4:4" ht="15.75" customHeight="1" x14ac:dyDescent="0.25">
      <c r="D492" s="2"/>
    </row>
    <row r="493" spans="4:4" ht="15.75" customHeight="1" x14ac:dyDescent="0.25">
      <c r="D493" s="2"/>
    </row>
    <row r="494" spans="4:4" ht="15.75" customHeight="1" x14ac:dyDescent="0.25">
      <c r="D494" s="2"/>
    </row>
    <row r="495" spans="4:4" ht="15.75" customHeight="1" x14ac:dyDescent="0.25">
      <c r="D495" s="2"/>
    </row>
    <row r="496" spans="4:4" ht="15.75" customHeight="1" x14ac:dyDescent="0.25">
      <c r="D496" s="2"/>
    </row>
    <row r="497" spans="4:4" ht="15.75" customHeight="1" x14ac:dyDescent="0.25">
      <c r="D497" s="2"/>
    </row>
    <row r="498" spans="4:4" ht="15.75" customHeight="1" x14ac:dyDescent="0.25">
      <c r="D498" s="2"/>
    </row>
    <row r="499" spans="4:4" ht="15.75" customHeight="1" x14ac:dyDescent="0.25">
      <c r="D499" s="2"/>
    </row>
    <row r="500" spans="4:4" ht="15.75" customHeight="1" x14ac:dyDescent="0.25">
      <c r="D500" s="2"/>
    </row>
    <row r="501" spans="4:4" ht="15.75" customHeight="1" x14ac:dyDescent="0.25">
      <c r="D501" s="2"/>
    </row>
    <row r="502" spans="4:4" ht="15.75" customHeight="1" x14ac:dyDescent="0.25">
      <c r="D502" s="2"/>
    </row>
    <row r="503" spans="4:4" ht="15.75" customHeight="1" x14ac:dyDescent="0.25">
      <c r="D503" s="2"/>
    </row>
    <row r="504" spans="4:4" ht="15.75" customHeight="1" x14ac:dyDescent="0.25">
      <c r="D504" s="2"/>
    </row>
    <row r="505" spans="4:4" ht="15.75" customHeight="1" x14ac:dyDescent="0.25">
      <c r="D505" s="2"/>
    </row>
    <row r="506" spans="4:4" ht="15.75" customHeight="1" x14ac:dyDescent="0.25">
      <c r="D506" s="2"/>
    </row>
    <row r="507" spans="4:4" ht="15.75" customHeight="1" x14ac:dyDescent="0.25">
      <c r="D507" s="2"/>
    </row>
    <row r="508" spans="4:4" ht="15.75" customHeight="1" x14ac:dyDescent="0.25">
      <c r="D508" s="2"/>
    </row>
    <row r="509" spans="4:4" ht="15.75" customHeight="1" x14ac:dyDescent="0.25">
      <c r="D509" s="2"/>
    </row>
    <row r="510" spans="4:4" ht="15.75" customHeight="1" x14ac:dyDescent="0.25">
      <c r="D510" s="2"/>
    </row>
    <row r="511" spans="4:4" ht="15.75" customHeight="1" x14ac:dyDescent="0.25">
      <c r="D511" s="2"/>
    </row>
    <row r="512" spans="4:4" ht="15.75" customHeight="1" x14ac:dyDescent="0.25">
      <c r="D512" s="2"/>
    </row>
    <row r="513" spans="4:4" ht="15.75" customHeight="1" x14ac:dyDescent="0.25">
      <c r="D513" s="2"/>
    </row>
    <row r="514" spans="4:4" ht="15.75" customHeight="1" x14ac:dyDescent="0.25">
      <c r="D514" s="2"/>
    </row>
    <row r="515" spans="4:4" ht="15.75" customHeight="1" x14ac:dyDescent="0.25">
      <c r="D515" s="2"/>
    </row>
    <row r="516" spans="4:4" ht="15.75" customHeight="1" x14ac:dyDescent="0.25">
      <c r="D516" s="2"/>
    </row>
    <row r="517" spans="4:4" ht="15.75" customHeight="1" x14ac:dyDescent="0.25">
      <c r="D517" s="2"/>
    </row>
    <row r="518" spans="4:4" ht="15.75" customHeight="1" x14ac:dyDescent="0.25">
      <c r="D518" s="2"/>
    </row>
    <row r="519" spans="4:4" ht="15.75" customHeight="1" x14ac:dyDescent="0.25">
      <c r="D519" s="2"/>
    </row>
    <row r="520" spans="4:4" ht="15.75" customHeight="1" x14ac:dyDescent="0.25">
      <c r="D520" s="2"/>
    </row>
    <row r="521" spans="4:4" ht="15.75" customHeight="1" x14ac:dyDescent="0.25">
      <c r="D521" s="2"/>
    </row>
    <row r="522" spans="4:4" ht="15.75" customHeight="1" x14ac:dyDescent="0.25">
      <c r="D522" s="2"/>
    </row>
    <row r="523" spans="4:4" ht="15.75" customHeight="1" x14ac:dyDescent="0.25">
      <c r="D523" s="2"/>
    </row>
    <row r="524" spans="4:4" ht="15.75" customHeight="1" x14ac:dyDescent="0.25">
      <c r="D524" s="2"/>
    </row>
    <row r="525" spans="4:4" ht="15.75" customHeight="1" x14ac:dyDescent="0.25">
      <c r="D525" s="2"/>
    </row>
    <row r="526" spans="4:4" ht="15.75" customHeight="1" x14ac:dyDescent="0.25">
      <c r="D526" s="2"/>
    </row>
    <row r="527" spans="4:4" ht="15.75" customHeight="1" x14ac:dyDescent="0.25">
      <c r="D527" s="2"/>
    </row>
    <row r="528" spans="4:4" ht="15.75" customHeight="1" x14ac:dyDescent="0.25">
      <c r="D528" s="2"/>
    </row>
    <row r="529" spans="4:4" ht="15.75" customHeight="1" x14ac:dyDescent="0.25">
      <c r="D529" s="2"/>
    </row>
    <row r="530" spans="4:4" ht="15.75" customHeight="1" x14ac:dyDescent="0.25">
      <c r="D530" s="2"/>
    </row>
    <row r="531" spans="4:4" ht="15.75" customHeight="1" x14ac:dyDescent="0.25">
      <c r="D531" s="2"/>
    </row>
    <row r="532" spans="4:4" ht="15.75" customHeight="1" x14ac:dyDescent="0.25">
      <c r="D532" s="2"/>
    </row>
    <row r="533" spans="4:4" ht="15.75" customHeight="1" x14ac:dyDescent="0.25">
      <c r="D533" s="2"/>
    </row>
    <row r="534" spans="4:4" ht="15.75" customHeight="1" x14ac:dyDescent="0.25">
      <c r="D534" s="2"/>
    </row>
    <row r="535" spans="4:4" ht="15.75" customHeight="1" x14ac:dyDescent="0.25">
      <c r="D535" s="2"/>
    </row>
    <row r="536" spans="4:4" ht="15.75" customHeight="1" x14ac:dyDescent="0.25">
      <c r="D536" s="2"/>
    </row>
    <row r="537" spans="4:4" ht="15.75" customHeight="1" x14ac:dyDescent="0.25">
      <c r="D537" s="2"/>
    </row>
    <row r="538" spans="4:4" ht="15.75" customHeight="1" x14ac:dyDescent="0.25">
      <c r="D538" s="2"/>
    </row>
    <row r="539" spans="4:4" ht="15.75" customHeight="1" x14ac:dyDescent="0.25">
      <c r="D539" s="2"/>
    </row>
    <row r="540" spans="4:4" ht="15.75" customHeight="1" x14ac:dyDescent="0.25">
      <c r="D540" s="2"/>
    </row>
    <row r="541" spans="4:4" ht="15.75" customHeight="1" x14ac:dyDescent="0.25">
      <c r="D541" s="2"/>
    </row>
    <row r="542" spans="4:4" ht="15.75" customHeight="1" x14ac:dyDescent="0.25">
      <c r="D542" s="2"/>
    </row>
    <row r="543" spans="4:4" ht="15.75" customHeight="1" x14ac:dyDescent="0.25">
      <c r="D543" s="2"/>
    </row>
    <row r="544" spans="4:4" ht="15.75" customHeight="1" x14ac:dyDescent="0.25">
      <c r="D544" s="2"/>
    </row>
    <row r="545" spans="4:4" ht="15.75" customHeight="1" x14ac:dyDescent="0.25">
      <c r="D545" s="2"/>
    </row>
    <row r="546" spans="4:4" ht="15.75" customHeight="1" x14ac:dyDescent="0.25">
      <c r="D546" s="2"/>
    </row>
    <row r="547" spans="4:4" ht="15.75" customHeight="1" x14ac:dyDescent="0.25">
      <c r="D547" s="2"/>
    </row>
    <row r="548" spans="4:4" ht="15.75" customHeight="1" x14ac:dyDescent="0.25">
      <c r="D548" s="2"/>
    </row>
    <row r="549" spans="4:4" ht="15.75" customHeight="1" x14ac:dyDescent="0.25">
      <c r="D549" s="2"/>
    </row>
    <row r="550" spans="4:4" ht="15.75" customHeight="1" x14ac:dyDescent="0.25">
      <c r="D550" s="2"/>
    </row>
    <row r="551" spans="4:4" ht="15.75" customHeight="1" x14ac:dyDescent="0.25">
      <c r="D551" s="2"/>
    </row>
    <row r="552" spans="4:4" ht="15.75" customHeight="1" x14ac:dyDescent="0.25">
      <c r="D552" s="2"/>
    </row>
    <row r="553" spans="4:4" ht="15.75" customHeight="1" x14ac:dyDescent="0.25">
      <c r="D553" s="2"/>
    </row>
    <row r="554" spans="4:4" ht="15.75" customHeight="1" x14ac:dyDescent="0.25">
      <c r="D554" s="2"/>
    </row>
    <row r="555" spans="4:4" ht="15.75" customHeight="1" x14ac:dyDescent="0.25">
      <c r="D555" s="2"/>
    </row>
    <row r="556" spans="4:4" ht="15.75" customHeight="1" x14ac:dyDescent="0.25">
      <c r="D556" s="2"/>
    </row>
    <row r="557" spans="4:4" ht="15.75" customHeight="1" x14ac:dyDescent="0.25">
      <c r="D557" s="2"/>
    </row>
    <row r="558" spans="4:4" ht="15.75" customHeight="1" x14ac:dyDescent="0.25">
      <c r="D558" s="2"/>
    </row>
    <row r="559" spans="4:4" ht="15.75" customHeight="1" x14ac:dyDescent="0.25">
      <c r="D559" s="2"/>
    </row>
    <row r="560" spans="4:4" ht="15.75" customHeight="1" x14ac:dyDescent="0.25">
      <c r="D560" s="2"/>
    </row>
    <row r="561" spans="4:4" ht="15.75" customHeight="1" x14ac:dyDescent="0.25">
      <c r="D561" s="2"/>
    </row>
    <row r="562" spans="4:4" ht="15.75" customHeight="1" x14ac:dyDescent="0.25">
      <c r="D562" s="2"/>
    </row>
    <row r="563" spans="4:4" ht="15.75" customHeight="1" x14ac:dyDescent="0.25">
      <c r="D563" s="2"/>
    </row>
    <row r="564" spans="4:4" ht="15.75" customHeight="1" x14ac:dyDescent="0.25">
      <c r="D564" s="2"/>
    </row>
    <row r="565" spans="4:4" ht="15.75" customHeight="1" x14ac:dyDescent="0.25">
      <c r="D565" s="2"/>
    </row>
    <row r="566" spans="4:4" ht="15.75" customHeight="1" x14ac:dyDescent="0.25">
      <c r="D566" s="2"/>
    </row>
    <row r="567" spans="4:4" ht="15.75" customHeight="1" x14ac:dyDescent="0.25">
      <c r="D567" s="2"/>
    </row>
    <row r="568" spans="4:4" ht="15.75" customHeight="1" x14ac:dyDescent="0.25">
      <c r="D568" s="2"/>
    </row>
    <row r="569" spans="4:4" ht="15.75" customHeight="1" x14ac:dyDescent="0.25">
      <c r="D569" s="2"/>
    </row>
    <row r="570" spans="4:4" ht="15.75" customHeight="1" x14ac:dyDescent="0.25">
      <c r="D570" s="2"/>
    </row>
    <row r="571" spans="4:4" ht="15.75" customHeight="1" x14ac:dyDescent="0.25">
      <c r="D571" s="2"/>
    </row>
    <row r="572" spans="4:4" ht="15.75" customHeight="1" x14ac:dyDescent="0.25">
      <c r="D572" s="2"/>
    </row>
    <row r="573" spans="4:4" ht="15.75" customHeight="1" x14ac:dyDescent="0.25">
      <c r="D573" s="2"/>
    </row>
    <row r="574" spans="4:4" ht="15.75" customHeight="1" x14ac:dyDescent="0.25">
      <c r="D574" s="2"/>
    </row>
    <row r="575" spans="4:4" ht="15.75" customHeight="1" x14ac:dyDescent="0.25">
      <c r="D575" s="2"/>
    </row>
    <row r="576" spans="4:4" ht="15.75" customHeight="1" x14ac:dyDescent="0.25">
      <c r="D576" s="2"/>
    </row>
    <row r="577" spans="4:4" ht="15.75" customHeight="1" x14ac:dyDescent="0.25">
      <c r="D577" s="2"/>
    </row>
    <row r="578" spans="4:4" ht="15.75" customHeight="1" x14ac:dyDescent="0.25">
      <c r="D578" s="2"/>
    </row>
    <row r="579" spans="4:4" ht="15.75" customHeight="1" x14ac:dyDescent="0.25">
      <c r="D579" s="2"/>
    </row>
    <row r="580" spans="4:4" ht="15.75" customHeight="1" x14ac:dyDescent="0.25">
      <c r="D580" s="2"/>
    </row>
    <row r="581" spans="4:4" ht="15.75" customHeight="1" x14ac:dyDescent="0.25">
      <c r="D581" s="2"/>
    </row>
    <row r="582" spans="4:4" ht="15.75" customHeight="1" x14ac:dyDescent="0.25">
      <c r="D582" s="2"/>
    </row>
    <row r="583" spans="4:4" ht="15.75" customHeight="1" x14ac:dyDescent="0.25">
      <c r="D583" s="2"/>
    </row>
    <row r="584" spans="4:4" ht="15.75" customHeight="1" x14ac:dyDescent="0.25">
      <c r="D584" s="2"/>
    </row>
    <row r="585" spans="4:4" ht="15.75" customHeight="1" x14ac:dyDescent="0.25">
      <c r="D585" s="2"/>
    </row>
    <row r="586" spans="4:4" ht="15.75" customHeight="1" x14ac:dyDescent="0.25">
      <c r="D586" s="2"/>
    </row>
    <row r="587" spans="4:4" ht="15.75" customHeight="1" x14ac:dyDescent="0.25">
      <c r="D587" s="2"/>
    </row>
    <row r="588" spans="4:4" ht="15.75" customHeight="1" x14ac:dyDescent="0.25">
      <c r="D588" s="2"/>
    </row>
    <row r="589" spans="4:4" ht="15.75" customHeight="1" x14ac:dyDescent="0.25">
      <c r="D589" s="2"/>
    </row>
    <row r="590" spans="4:4" ht="15.75" customHeight="1" x14ac:dyDescent="0.25">
      <c r="D590" s="2"/>
    </row>
    <row r="591" spans="4:4" ht="15.75" customHeight="1" x14ac:dyDescent="0.25">
      <c r="D591" s="2"/>
    </row>
    <row r="592" spans="4:4" ht="15.75" customHeight="1" x14ac:dyDescent="0.25">
      <c r="D592" s="2"/>
    </row>
    <row r="593" spans="4:4" ht="15.75" customHeight="1" x14ac:dyDescent="0.25">
      <c r="D593" s="2"/>
    </row>
    <row r="594" spans="4:4" ht="15.75" customHeight="1" x14ac:dyDescent="0.25">
      <c r="D594" s="2"/>
    </row>
    <row r="595" spans="4:4" ht="15.75" customHeight="1" x14ac:dyDescent="0.25">
      <c r="D595" s="2"/>
    </row>
    <row r="596" spans="4:4" ht="15.75" customHeight="1" x14ac:dyDescent="0.25">
      <c r="D596" s="2"/>
    </row>
    <row r="597" spans="4:4" ht="15.75" customHeight="1" x14ac:dyDescent="0.25">
      <c r="D597" s="2"/>
    </row>
    <row r="598" spans="4:4" ht="15.75" customHeight="1" x14ac:dyDescent="0.25">
      <c r="D598" s="2"/>
    </row>
    <row r="599" spans="4:4" ht="15.75" customHeight="1" x14ac:dyDescent="0.25">
      <c r="D599" s="2"/>
    </row>
    <row r="600" spans="4:4" ht="15.75" customHeight="1" x14ac:dyDescent="0.25">
      <c r="D600" s="2"/>
    </row>
    <row r="601" spans="4:4" ht="15.75" customHeight="1" x14ac:dyDescent="0.25">
      <c r="D601" s="2"/>
    </row>
    <row r="602" spans="4:4" ht="15.75" customHeight="1" x14ac:dyDescent="0.25">
      <c r="D602" s="2"/>
    </row>
    <row r="603" spans="4:4" ht="15.75" customHeight="1" x14ac:dyDescent="0.25">
      <c r="D603" s="2"/>
    </row>
    <row r="604" spans="4:4" ht="15.75" customHeight="1" x14ac:dyDescent="0.25">
      <c r="D604" s="2"/>
    </row>
    <row r="605" spans="4:4" ht="15.75" customHeight="1" x14ac:dyDescent="0.25">
      <c r="D605" s="2"/>
    </row>
    <row r="606" spans="4:4" ht="15.75" customHeight="1" x14ac:dyDescent="0.25">
      <c r="D606" s="2"/>
    </row>
    <row r="607" spans="4:4" ht="15.75" customHeight="1" x14ac:dyDescent="0.25">
      <c r="D607" s="2"/>
    </row>
    <row r="608" spans="4:4" ht="15.75" customHeight="1" x14ac:dyDescent="0.25">
      <c r="D608" s="2"/>
    </row>
    <row r="609" spans="4:4" ht="15.75" customHeight="1" x14ac:dyDescent="0.25">
      <c r="D609" s="2"/>
    </row>
    <row r="610" spans="4:4" ht="15.75" customHeight="1" x14ac:dyDescent="0.25">
      <c r="D610" s="2"/>
    </row>
    <row r="611" spans="4:4" ht="15.75" customHeight="1" x14ac:dyDescent="0.25">
      <c r="D611" s="2"/>
    </row>
    <row r="612" spans="4:4" ht="15.75" customHeight="1" x14ac:dyDescent="0.25">
      <c r="D612" s="2"/>
    </row>
    <row r="613" spans="4:4" ht="15.75" customHeight="1" x14ac:dyDescent="0.25">
      <c r="D613" s="2"/>
    </row>
    <row r="614" spans="4:4" ht="15.75" customHeight="1" x14ac:dyDescent="0.25">
      <c r="D614" s="2"/>
    </row>
    <row r="615" spans="4:4" ht="15.75" customHeight="1" x14ac:dyDescent="0.25">
      <c r="D615" s="2"/>
    </row>
    <row r="616" spans="4:4" ht="15.75" customHeight="1" x14ac:dyDescent="0.25">
      <c r="D616" s="2"/>
    </row>
    <row r="617" spans="4:4" ht="15.75" customHeight="1" x14ac:dyDescent="0.25">
      <c r="D617" s="2"/>
    </row>
    <row r="618" spans="4:4" ht="15.75" customHeight="1" x14ac:dyDescent="0.25">
      <c r="D618" s="2"/>
    </row>
    <row r="619" spans="4:4" ht="15.75" customHeight="1" x14ac:dyDescent="0.25">
      <c r="D619" s="2"/>
    </row>
    <row r="620" spans="4:4" ht="15.75" customHeight="1" x14ac:dyDescent="0.25">
      <c r="D620" s="2"/>
    </row>
    <row r="621" spans="4:4" ht="15.75" customHeight="1" x14ac:dyDescent="0.25">
      <c r="D621" s="2"/>
    </row>
    <row r="622" spans="4:4" ht="15.75" customHeight="1" x14ac:dyDescent="0.25">
      <c r="D622" s="2"/>
    </row>
    <row r="623" spans="4:4" ht="15.75" customHeight="1" x14ac:dyDescent="0.25">
      <c r="D623" s="2"/>
    </row>
    <row r="624" spans="4:4" ht="15.75" customHeight="1" x14ac:dyDescent="0.25">
      <c r="D624" s="2"/>
    </row>
    <row r="625" spans="4:4" ht="15.75" customHeight="1" x14ac:dyDescent="0.25">
      <c r="D625" s="2"/>
    </row>
    <row r="626" spans="4:4" ht="15.75" customHeight="1" x14ac:dyDescent="0.25">
      <c r="D626" s="2"/>
    </row>
    <row r="627" spans="4:4" ht="15.75" customHeight="1" x14ac:dyDescent="0.25">
      <c r="D627" s="2"/>
    </row>
    <row r="628" spans="4:4" ht="15.75" customHeight="1" x14ac:dyDescent="0.25">
      <c r="D628" s="2"/>
    </row>
    <row r="629" spans="4:4" ht="15.75" customHeight="1" x14ac:dyDescent="0.25">
      <c r="D629" s="2"/>
    </row>
    <row r="630" spans="4:4" ht="15.75" customHeight="1" x14ac:dyDescent="0.25">
      <c r="D630" s="2"/>
    </row>
    <row r="631" spans="4:4" ht="15.75" customHeight="1" x14ac:dyDescent="0.25">
      <c r="D631" s="2"/>
    </row>
    <row r="632" spans="4:4" ht="15.75" customHeight="1" x14ac:dyDescent="0.25">
      <c r="D632" s="2"/>
    </row>
    <row r="633" spans="4:4" ht="15.75" customHeight="1" x14ac:dyDescent="0.25">
      <c r="D633" s="2"/>
    </row>
    <row r="634" spans="4:4" ht="15.75" customHeight="1" x14ac:dyDescent="0.25">
      <c r="D634" s="2"/>
    </row>
    <row r="635" spans="4:4" ht="15.75" customHeight="1" x14ac:dyDescent="0.25">
      <c r="D635" s="2"/>
    </row>
    <row r="636" spans="4:4" ht="15.75" customHeight="1" x14ac:dyDescent="0.25">
      <c r="D636" s="2"/>
    </row>
    <row r="637" spans="4:4" ht="15.75" customHeight="1" x14ac:dyDescent="0.25">
      <c r="D637" s="2"/>
    </row>
    <row r="638" spans="4:4" ht="15.75" customHeight="1" x14ac:dyDescent="0.25">
      <c r="D638" s="2"/>
    </row>
    <row r="639" spans="4:4" ht="15.75" customHeight="1" x14ac:dyDescent="0.25">
      <c r="D639" s="2"/>
    </row>
    <row r="640" spans="4:4" ht="15.75" customHeight="1" x14ac:dyDescent="0.25">
      <c r="D640" s="2"/>
    </row>
    <row r="641" spans="4:4" ht="15.75" customHeight="1" x14ac:dyDescent="0.25">
      <c r="D641" s="2"/>
    </row>
    <row r="642" spans="4:4" ht="15.75" customHeight="1" x14ac:dyDescent="0.25">
      <c r="D642" s="2"/>
    </row>
    <row r="643" spans="4:4" ht="15.75" customHeight="1" x14ac:dyDescent="0.25">
      <c r="D643" s="2"/>
    </row>
    <row r="644" spans="4:4" ht="15.75" customHeight="1" x14ac:dyDescent="0.25">
      <c r="D644" s="2"/>
    </row>
    <row r="645" spans="4:4" ht="15.75" customHeight="1" x14ac:dyDescent="0.25">
      <c r="D645" s="2"/>
    </row>
    <row r="646" spans="4:4" ht="15.75" customHeight="1" x14ac:dyDescent="0.25">
      <c r="D646" s="2"/>
    </row>
    <row r="647" spans="4:4" ht="15.75" customHeight="1" x14ac:dyDescent="0.25">
      <c r="D647" s="2"/>
    </row>
    <row r="648" spans="4:4" ht="15.75" customHeight="1" x14ac:dyDescent="0.25">
      <c r="D648" s="2"/>
    </row>
    <row r="649" spans="4:4" ht="15.75" customHeight="1" x14ac:dyDescent="0.25">
      <c r="D649" s="2"/>
    </row>
    <row r="650" spans="4:4" ht="15.75" customHeight="1" x14ac:dyDescent="0.25">
      <c r="D650" s="2"/>
    </row>
    <row r="651" spans="4:4" ht="15.75" customHeight="1" x14ac:dyDescent="0.25">
      <c r="D651" s="2"/>
    </row>
    <row r="652" spans="4:4" ht="15.75" customHeight="1" x14ac:dyDescent="0.25">
      <c r="D652" s="2"/>
    </row>
    <row r="653" spans="4:4" ht="15.75" customHeight="1" x14ac:dyDescent="0.25">
      <c r="D653" s="2"/>
    </row>
    <row r="654" spans="4:4" ht="15.75" customHeight="1" x14ac:dyDescent="0.25">
      <c r="D654" s="2"/>
    </row>
    <row r="655" spans="4:4" ht="15.75" customHeight="1" x14ac:dyDescent="0.25">
      <c r="D655" s="2"/>
    </row>
    <row r="656" spans="4:4" ht="15.75" customHeight="1" x14ac:dyDescent="0.25">
      <c r="D656" s="2"/>
    </row>
    <row r="657" spans="4:4" ht="15.75" customHeight="1" x14ac:dyDescent="0.25">
      <c r="D657" s="2"/>
    </row>
    <row r="658" spans="4:4" ht="15.75" customHeight="1" x14ac:dyDescent="0.25">
      <c r="D658" s="2"/>
    </row>
    <row r="659" spans="4:4" ht="15.75" customHeight="1" x14ac:dyDescent="0.25">
      <c r="D659" s="2"/>
    </row>
    <row r="660" spans="4:4" ht="15.75" customHeight="1" x14ac:dyDescent="0.25">
      <c r="D660" s="2"/>
    </row>
    <row r="661" spans="4:4" ht="15.75" customHeight="1" x14ac:dyDescent="0.25">
      <c r="D661" s="2"/>
    </row>
    <row r="662" spans="4:4" ht="15.75" customHeight="1" x14ac:dyDescent="0.25">
      <c r="D662" s="2"/>
    </row>
    <row r="663" spans="4:4" ht="15.75" customHeight="1" x14ac:dyDescent="0.25">
      <c r="D663" s="2"/>
    </row>
    <row r="664" spans="4:4" ht="15.75" customHeight="1" x14ac:dyDescent="0.25">
      <c r="D664" s="2"/>
    </row>
    <row r="665" spans="4:4" ht="15.75" customHeight="1" x14ac:dyDescent="0.25">
      <c r="D665" s="2"/>
    </row>
    <row r="666" spans="4:4" ht="15.75" customHeight="1" x14ac:dyDescent="0.25">
      <c r="D666" s="2"/>
    </row>
    <row r="667" spans="4:4" ht="15.75" customHeight="1" x14ac:dyDescent="0.25">
      <c r="D667" s="2"/>
    </row>
    <row r="668" spans="4:4" ht="15.75" customHeight="1" x14ac:dyDescent="0.25">
      <c r="D668" s="2"/>
    </row>
    <row r="669" spans="4:4" ht="15.75" customHeight="1" x14ac:dyDescent="0.25">
      <c r="D669" s="2"/>
    </row>
    <row r="670" spans="4:4" ht="15.75" customHeight="1" x14ac:dyDescent="0.25">
      <c r="D670" s="2"/>
    </row>
    <row r="671" spans="4:4" ht="15.75" customHeight="1" x14ac:dyDescent="0.25">
      <c r="D671" s="2"/>
    </row>
    <row r="672" spans="4:4" ht="15.75" customHeight="1" x14ac:dyDescent="0.25">
      <c r="D672" s="2"/>
    </row>
    <row r="673" spans="4:4" ht="15.75" customHeight="1" x14ac:dyDescent="0.25">
      <c r="D673" s="2"/>
    </row>
    <row r="674" spans="4:4" ht="15.75" customHeight="1" x14ac:dyDescent="0.25">
      <c r="D674" s="2"/>
    </row>
    <row r="675" spans="4:4" ht="15.75" customHeight="1" x14ac:dyDescent="0.25">
      <c r="D675" s="2"/>
    </row>
    <row r="676" spans="4:4" ht="15.75" customHeight="1" x14ac:dyDescent="0.25">
      <c r="D676" s="2"/>
    </row>
    <row r="677" spans="4:4" ht="15.75" customHeight="1" x14ac:dyDescent="0.25">
      <c r="D677" s="2"/>
    </row>
    <row r="678" spans="4:4" ht="15.75" customHeight="1" x14ac:dyDescent="0.25">
      <c r="D678" s="2"/>
    </row>
    <row r="679" spans="4:4" ht="15.75" customHeight="1" x14ac:dyDescent="0.25">
      <c r="D679" s="2"/>
    </row>
    <row r="680" spans="4:4" ht="15.75" customHeight="1" x14ac:dyDescent="0.25">
      <c r="D680" s="2"/>
    </row>
    <row r="681" spans="4:4" ht="15.75" customHeight="1" x14ac:dyDescent="0.25">
      <c r="D681" s="2"/>
    </row>
    <row r="682" spans="4:4" ht="15.75" customHeight="1" x14ac:dyDescent="0.25">
      <c r="D682" s="2"/>
    </row>
    <row r="683" spans="4:4" ht="15.75" customHeight="1" x14ac:dyDescent="0.25">
      <c r="D683" s="2"/>
    </row>
    <row r="684" spans="4:4" ht="15.75" customHeight="1" x14ac:dyDescent="0.25">
      <c r="D684" s="2"/>
    </row>
    <row r="685" spans="4:4" ht="15.75" customHeight="1" x14ac:dyDescent="0.25">
      <c r="D685" s="2"/>
    </row>
    <row r="686" spans="4:4" ht="15.75" customHeight="1" x14ac:dyDescent="0.25">
      <c r="D686" s="2"/>
    </row>
    <row r="687" spans="4:4" ht="15.75" customHeight="1" x14ac:dyDescent="0.25">
      <c r="D687" s="2"/>
    </row>
    <row r="688" spans="4:4" ht="15.75" customHeight="1" x14ac:dyDescent="0.25">
      <c r="D688" s="2"/>
    </row>
    <row r="689" spans="4:4" ht="15.75" customHeight="1" x14ac:dyDescent="0.25">
      <c r="D689" s="2"/>
    </row>
    <row r="690" spans="4:4" ht="15.75" customHeight="1" x14ac:dyDescent="0.25">
      <c r="D690" s="2"/>
    </row>
    <row r="691" spans="4:4" ht="15.75" customHeight="1" x14ac:dyDescent="0.25">
      <c r="D691" s="2"/>
    </row>
    <row r="692" spans="4:4" ht="15.75" customHeight="1" x14ac:dyDescent="0.25">
      <c r="D692" s="2"/>
    </row>
    <row r="693" spans="4:4" ht="15.75" customHeight="1" x14ac:dyDescent="0.25">
      <c r="D693" s="2"/>
    </row>
    <row r="694" spans="4:4" ht="15.75" customHeight="1" x14ac:dyDescent="0.25">
      <c r="D694" s="2"/>
    </row>
    <row r="695" spans="4:4" ht="15.75" customHeight="1" x14ac:dyDescent="0.25">
      <c r="D695" s="2"/>
    </row>
    <row r="696" spans="4:4" ht="15.75" customHeight="1" x14ac:dyDescent="0.25">
      <c r="D696" s="2"/>
    </row>
    <row r="697" spans="4:4" ht="15.75" customHeight="1" x14ac:dyDescent="0.25">
      <c r="D697" s="2"/>
    </row>
    <row r="698" spans="4:4" ht="15.75" customHeight="1" x14ac:dyDescent="0.25">
      <c r="D698" s="2"/>
    </row>
    <row r="699" spans="4:4" ht="15.75" customHeight="1" x14ac:dyDescent="0.25">
      <c r="D699" s="2"/>
    </row>
    <row r="700" spans="4:4" ht="15.75" customHeight="1" x14ac:dyDescent="0.25">
      <c r="D700" s="2"/>
    </row>
    <row r="701" spans="4:4" ht="15.75" customHeight="1" x14ac:dyDescent="0.25">
      <c r="D701" s="2"/>
    </row>
    <row r="702" spans="4:4" ht="15.75" customHeight="1" x14ac:dyDescent="0.25">
      <c r="D702" s="2"/>
    </row>
    <row r="703" spans="4:4" ht="15.75" customHeight="1" x14ac:dyDescent="0.25">
      <c r="D703" s="2"/>
    </row>
    <row r="704" spans="4:4" ht="15.75" customHeight="1" x14ac:dyDescent="0.25">
      <c r="D704" s="2"/>
    </row>
    <row r="705" spans="4:4" ht="15.75" customHeight="1" x14ac:dyDescent="0.25">
      <c r="D705" s="2"/>
    </row>
    <row r="706" spans="4:4" ht="15.75" customHeight="1" x14ac:dyDescent="0.25">
      <c r="D706" s="2"/>
    </row>
    <row r="707" spans="4:4" ht="15.75" customHeight="1" x14ac:dyDescent="0.25">
      <c r="D707" s="2"/>
    </row>
    <row r="708" spans="4:4" ht="15.75" customHeight="1" x14ac:dyDescent="0.25">
      <c r="D708" s="2"/>
    </row>
    <row r="709" spans="4:4" ht="15.75" customHeight="1" x14ac:dyDescent="0.25">
      <c r="D709" s="2"/>
    </row>
    <row r="710" spans="4:4" ht="15.75" customHeight="1" x14ac:dyDescent="0.25">
      <c r="D710" s="2"/>
    </row>
    <row r="711" spans="4:4" ht="15.75" customHeight="1" x14ac:dyDescent="0.25">
      <c r="D711" s="2"/>
    </row>
    <row r="712" spans="4:4" ht="15.75" customHeight="1" x14ac:dyDescent="0.25">
      <c r="D712" s="2"/>
    </row>
    <row r="713" spans="4:4" ht="15.75" customHeight="1" x14ac:dyDescent="0.25">
      <c r="D713" s="2"/>
    </row>
    <row r="714" spans="4:4" ht="15.75" customHeight="1" x14ac:dyDescent="0.25">
      <c r="D714" s="2"/>
    </row>
    <row r="715" spans="4:4" ht="15.75" customHeight="1" x14ac:dyDescent="0.25">
      <c r="D715" s="2"/>
    </row>
    <row r="716" spans="4:4" ht="15.75" customHeight="1" x14ac:dyDescent="0.25">
      <c r="D716" s="2"/>
    </row>
    <row r="717" spans="4:4" ht="15.75" customHeight="1" x14ac:dyDescent="0.25">
      <c r="D717" s="2"/>
    </row>
    <row r="718" spans="4:4" ht="15.75" customHeight="1" x14ac:dyDescent="0.25">
      <c r="D718" s="2"/>
    </row>
    <row r="719" spans="4:4" ht="15.75" customHeight="1" x14ac:dyDescent="0.25">
      <c r="D719" s="2"/>
    </row>
    <row r="720" spans="4:4" ht="15.75" customHeight="1" x14ac:dyDescent="0.25">
      <c r="D720" s="2"/>
    </row>
    <row r="721" spans="4:4" ht="15.75" customHeight="1" x14ac:dyDescent="0.25">
      <c r="D721" s="2"/>
    </row>
    <row r="722" spans="4:4" ht="15.75" customHeight="1" x14ac:dyDescent="0.25">
      <c r="D722" s="2"/>
    </row>
    <row r="723" spans="4:4" ht="15.75" customHeight="1" x14ac:dyDescent="0.25">
      <c r="D723" s="2"/>
    </row>
    <row r="724" spans="4:4" ht="15.75" customHeight="1" x14ac:dyDescent="0.25">
      <c r="D724" s="2"/>
    </row>
    <row r="725" spans="4:4" ht="15.75" customHeight="1" x14ac:dyDescent="0.25">
      <c r="D725" s="2"/>
    </row>
    <row r="726" spans="4:4" ht="15.75" customHeight="1" x14ac:dyDescent="0.25">
      <c r="D726" s="2"/>
    </row>
    <row r="727" spans="4:4" ht="15.75" customHeight="1" x14ac:dyDescent="0.25">
      <c r="D727" s="2"/>
    </row>
    <row r="728" spans="4:4" ht="15.75" customHeight="1" x14ac:dyDescent="0.25">
      <c r="D728" s="2"/>
    </row>
    <row r="729" spans="4:4" ht="15.75" customHeight="1" x14ac:dyDescent="0.25">
      <c r="D729" s="2"/>
    </row>
    <row r="730" spans="4:4" ht="15.75" customHeight="1" x14ac:dyDescent="0.25">
      <c r="D730" s="2"/>
    </row>
    <row r="731" spans="4:4" ht="15.75" customHeight="1" x14ac:dyDescent="0.25">
      <c r="D731" s="2"/>
    </row>
    <row r="732" spans="4:4" ht="15.75" customHeight="1" x14ac:dyDescent="0.25">
      <c r="D732" s="2"/>
    </row>
    <row r="733" spans="4:4" ht="15.75" customHeight="1" x14ac:dyDescent="0.25">
      <c r="D733" s="2"/>
    </row>
    <row r="734" spans="4:4" ht="15.75" customHeight="1" x14ac:dyDescent="0.25">
      <c r="D734" s="2"/>
    </row>
    <row r="735" spans="4:4" ht="15.75" customHeight="1" x14ac:dyDescent="0.25">
      <c r="D735" s="2"/>
    </row>
    <row r="736" spans="4:4" ht="15.75" customHeight="1" x14ac:dyDescent="0.25">
      <c r="D736" s="2"/>
    </row>
    <row r="737" spans="4:4" ht="15.75" customHeight="1" x14ac:dyDescent="0.25">
      <c r="D737" s="2"/>
    </row>
    <row r="738" spans="4:4" ht="15.75" customHeight="1" x14ac:dyDescent="0.25">
      <c r="D738" s="2"/>
    </row>
    <row r="739" spans="4:4" ht="15.75" customHeight="1" x14ac:dyDescent="0.25">
      <c r="D739" s="2"/>
    </row>
    <row r="740" spans="4:4" ht="15.75" customHeight="1" x14ac:dyDescent="0.25">
      <c r="D740" s="2"/>
    </row>
    <row r="741" spans="4:4" ht="15.75" customHeight="1" x14ac:dyDescent="0.25">
      <c r="D741" s="2"/>
    </row>
    <row r="742" spans="4:4" ht="15.75" customHeight="1" x14ac:dyDescent="0.25">
      <c r="D742" s="2"/>
    </row>
    <row r="743" spans="4:4" ht="15.75" customHeight="1" x14ac:dyDescent="0.25">
      <c r="D743" s="2"/>
    </row>
    <row r="744" spans="4:4" ht="15.75" customHeight="1" x14ac:dyDescent="0.25">
      <c r="D744" s="2"/>
    </row>
    <row r="745" spans="4:4" ht="15.75" customHeight="1" x14ac:dyDescent="0.25">
      <c r="D745" s="2"/>
    </row>
    <row r="746" spans="4:4" ht="15.75" customHeight="1" x14ac:dyDescent="0.25">
      <c r="D746" s="2"/>
    </row>
    <row r="747" spans="4:4" ht="15.75" customHeight="1" x14ac:dyDescent="0.25">
      <c r="D747" s="2"/>
    </row>
    <row r="748" spans="4:4" ht="15.75" customHeight="1" x14ac:dyDescent="0.25">
      <c r="D748" s="2"/>
    </row>
    <row r="749" spans="4:4" ht="15.75" customHeight="1" x14ac:dyDescent="0.25">
      <c r="D749" s="2"/>
    </row>
    <row r="750" spans="4:4" ht="15.75" customHeight="1" x14ac:dyDescent="0.25">
      <c r="D750" s="2"/>
    </row>
    <row r="751" spans="4:4" ht="15.75" customHeight="1" x14ac:dyDescent="0.25">
      <c r="D751" s="2"/>
    </row>
    <row r="752" spans="4:4" ht="15.75" customHeight="1" x14ac:dyDescent="0.25">
      <c r="D752" s="2"/>
    </row>
    <row r="753" spans="4:4" ht="15.75" customHeight="1" x14ac:dyDescent="0.25">
      <c r="D753" s="2"/>
    </row>
    <row r="754" spans="4:4" ht="15.75" customHeight="1" x14ac:dyDescent="0.25">
      <c r="D754" s="2"/>
    </row>
    <row r="755" spans="4:4" ht="15.75" customHeight="1" x14ac:dyDescent="0.25">
      <c r="D755" s="2"/>
    </row>
    <row r="756" spans="4:4" ht="15.75" customHeight="1" x14ac:dyDescent="0.25">
      <c r="D756" s="2"/>
    </row>
    <row r="757" spans="4:4" ht="15.75" customHeight="1" x14ac:dyDescent="0.25">
      <c r="D757" s="2"/>
    </row>
    <row r="758" spans="4:4" ht="15.75" customHeight="1" x14ac:dyDescent="0.25">
      <c r="D758" s="2"/>
    </row>
    <row r="759" spans="4:4" ht="15.75" customHeight="1" x14ac:dyDescent="0.25">
      <c r="D759" s="2"/>
    </row>
    <row r="760" spans="4:4" ht="15.75" customHeight="1" x14ac:dyDescent="0.25">
      <c r="D760" s="2"/>
    </row>
    <row r="761" spans="4:4" ht="15.75" customHeight="1" x14ac:dyDescent="0.25">
      <c r="D761" s="2"/>
    </row>
    <row r="762" spans="4:4" ht="15.75" customHeight="1" x14ac:dyDescent="0.25">
      <c r="D762" s="2"/>
    </row>
    <row r="763" spans="4:4" ht="15.75" customHeight="1" x14ac:dyDescent="0.25">
      <c r="D763" s="2"/>
    </row>
    <row r="764" spans="4:4" ht="15.75" customHeight="1" x14ac:dyDescent="0.25">
      <c r="D764" s="2"/>
    </row>
    <row r="765" spans="4:4" ht="15.75" customHeight="1" x14ac:dyDescent="0.25">
      <c r="D765" s="2"/>
    </row>
    <row r="766" spans="4:4" ht="15.75" customHeight="1" x14ac:dyDescent="0.25">
      <c r="D766" s="2"/>
    </row>
    <row r="767" spans="4:4" ht="15.75" customHeight="1" x14ac:dyDescent="0.25">
      <c r="D767" s="2"/>
    </row>
    <row r="768" spans="4:4" ht="15.75" customHeight="1" x14ac:dyDescent="0.25">
      <c r="D768" s="2"/>
    </row>
    <row r="769" spans="4:4" ht="15.75" customHeight="1" x14ac:dyDescent="0.25">
      <c r="D769" s="2"/>
    </row>
    <row r="770" spans="4:4" ht="15.75" customHeight="1" x14ac:dyDescent="0.25">
      <c r="D770" s="2"/>
    </row>
    <row r="771" spans="4:4" ht="15.75" customHeight="1" x14ac:dyDescent="0.25">
      <c r="D771" s="2"/>
    </row>
    <row r="772" spans="4:4" ht="15.75" customHeight="1" x14ac:dyDescent="0.25">
      <c r="D772" s="2"/>
    </row>
    <row r="773" spans="4:4" ht="15.75" customHeight="1" x14ac:dyDescent="0.25">
      <c r="D773" s="2"/>
    </row>
    <row r="774" spans="4:4" ht="15.75" customHeight="1" x14ac:dyDescent="0.25">
      <c r="D774" s="2"/>
    </row>
    <row r="775" spans="4:4" ht="15.75" customHeight="1" x14ac:dyDescent="0.25">
      <c r="D775" s="2"/>
    </row>
    <row r="776" spans="4:4" ht="15.75" customHeight="1" x14ac:dyDescent="0.25">
      <c r="D776" s="2"/>
    </row>
    <row r="777" spans="4:4" ht="15.75" customHeight="1" x14ac:dyDescent="0.25">
      <c r="D777" s="2"/>
    </row>
    <row r="778" spans="4:4" ht="15.75" customHeight="1" x14ac:dyDescent="0.25">
      <c r="D778" s="2"/>
    </row>
    <row r="779" spans="4:4" ht="15.75" customHeight="1" x14ac:dyDescent="0.25">
      <c r="D779" s="2"/>
    </row>
    <row r="780" spans="4:4" ht="15.75" customHeight="1" x14ac:dyDescent="0.25">
      <c r="D780" s="2"/>
    </row>
    <row r="781" spans="4:4" ht="15.75" customHeight="1" x14ac:dyDescent="0.25">
      <c r="D781" s="2"/>
    </row>
    <row r="782" spans="4:4" ht="15.75" customHeight="1" x14ac:dyDescent="0.25">
      <c r="D782" s="2"/>
    </row>
    <row r="783" spans="4:4" ht="15.75" customHeight="1" x14ac:dyDescent="0.25">
      <c r="D783" s="2"/>
    </row>
    <row r="784" spans="4:4" ht="15.75" customHeight="1" x14ac:dyDescent="0.25">
      <c r="D784" s="2"/>
    </row>
    <row r="785" spans="4:4" ht="15.75" customHeight="1" x14ac:dyDescent="0.25">
      <c r="D785" s="2"/>
    </row>
    <row r="786" spans="4:4" ht="15.75" customHeight="1" x14ac:dyDescent="0.25">
      <c r="D786" s="2"/>
    </row>
    <row r="787" spans="4:4" ht="15.75" customHeight="1" x14ac:dyDescent="0.25">
      <c r="D787" s="2"/>
    </row>
    <row r="788" spans="4:4" ht="15.75" customHeight="1" x14ac:dyDescent="0.25">
      <c r="D788" s="2"/>
    </row>
    <row r="789" spans="4:4" ht="15.75" customHeight="1" x14ac:dyDescent="0.25">
      <c r="D789" s="2"/>
    </row>
    <row r="790" spans="4:4" ht="15.75" customHeight="1" x14ac:dyDescent="0.25">
      <c r="D790" s="2"/>
    </row>
    <row r="791" spans="4:4" ht="15.75" customHeight="1" x14ac:dyDescent="0.25">
      <c r="D791" s="2"/>
    </row>
    <row r="792" spans="4:4" ht="15.75" customHeight="1" x14ac:dyDescent="0.25">
      <c r="D792" s="2"/>
    </row>
    <row r="793" spans="4:4" ht="15.75" customHeight="1" x14ac:dyDescent="0.25">
      <c r="D793" s="2"/>
    </row>
    <row r="794" spans="4:4" ht="15.75" customHeight="1" x14ac:dyDescent="0.25">
      <c r="D794" s="2"/>
    </row>
    <row r="795" spans="4:4" ht="15.75" customHeight="1" x14ac:dyDescent="0.25">
      <c r="D795" s="2"/>
    </row>
    <row r="796" spans="4:4" ht="15.75" customHeight="1" x14ac:dyDescent="0.25">
      <c r="D796" s="2"/>
    </row>
    <row r="797" spans="4:4" ht="15.75" customHeight="1" x14ac:dyDescent="0.25">
      <c r="D797" s="2"/>
    </row>
    <row r="798" spans="4:4" ht="15.75" customHeight="1" x14ac:dyDescent="0.25">
      <c r="D798" s="2"/>
    </row>
    <row r="799" spans="4:4" ht="15.75" customHeight="1" x14ac:dyDescent="0.25">
      <c r="D799" s="2"/>
    </row>
    <row r="800" spans="4:4" ht="15.75" customHeight="1" x14ac:dyDescent="0.25">
      <c r="D800" s="2"/>
    </row>
    <row r="801" spans="4:4" ht="15.75" customHeight="1" x14ac:dyDescent="0.25">
      <c r="D801" s="2"/>
    </row>
    <row r="802" spans="4:4" ht="15.75" customHeight="1" x14ac:dyDescent="0.25">
      <c r="D802" s="2"/>
    </row>
    <row r="803" spans="4:4" ht="15.75" customHeight="1" x14ac:dyDescent="0.25">
      <c r="D803" s="2"/>
    </row>
    <row r="804" spans="4:4" ht="15.75" customHeight="1" x14ac:dyDescent="0.25">
      <c r="D804" s="2"/>
    </row>
    <row r="805" spans="4:4" ht="15.75" customHeight="1" x14ac:dyDescent="0.25">
      <c r="D805" s="2"/>
    </row>
    <row r="806" spans="4:4" ht="15.75" customHeight="1" x14ac:dyDescent="0.25">
      <c r="D806" s="2"/>
    </row>
    <row r="807" spans="4:4" ht="15.75" customHeight="1" x14ac:dyDescent="0.25">
      <c r="D807" s="2"/>
    </row>
    <row r="808" spans="4:4" ht="15.75" customHeight="1" x14ac:dyDescent="0.25">
      <c r="D808" s="2"/>
    </row>
    <row r="809" spans="4:4" ht="15.75" customHeight="1" x14ac:dyDescent="0.25">
      <c r="D809" s="2"/>
    </row>
    <row r="810" spans="4:4" ht="15.75" customHeight="1" x14ac:dyDescent="0.25">
      <c r="D810" s="2"/>
    </row>
    <row r="811" spans="4:4" ht="15.75" customHeight="1" x14ac:dyDescent="0.25">
      <c r="D811" s="2"/>
    </row>
    <row r="812" spans="4:4" ht="15.75" customHeight="1" x14ac:dyDescent="0.25">
      <c r="D812" s="2"/>
    </row>
    <row r="813" spans="4:4" ht="15.75" customHeight="1" x14ac:dyDescent="0.25">
      <c r="D813" s="2"/>
    </row>
    <row r="814" spans="4:4" ht="15.75" customHeight="1" x14ac:dyDescent="0.25">
      <c r="D814" s="2"/>
    </row>
    <row r="815" spans="4:4" ht="15.75" customHeight="1" x14ac:dyDescent="0.25">
      <c r="D815" s="2"/>
    </row>
    <row r="816" spans="4:4" ht="15.75" customHeight="1" x14ac:dyDescent="0.25">
      <c r="D816" s="2"/>
    </row>
    <row r="817" spans="4:4" ht="15.75" customHeight="1" x14ac:dyDescent="0.25">
      <c r="D817" s="2"/>
    </row>
    <row r="818" spans="4:4" ht="15.75" customHeight="1" x14ac:dyDescent="0.25">
      <c r="D818" s="2"/>
    </row>
    <row r="819" spans="4:4" ht="15.75" customHeight="1" x14ac:dyDescent="0.25">
      <c r="D819" s="2"/>
    </row>
    <row r="820" spans="4:4" ht="15.75" customHeight="1" x14ac:dyDescent="0.25">
      <c r="D820" s="2"/>
    </row>
    <row r="821" spans="4:4" ht="15.75" customHeight="1" x14ac:dyDescent="0.25">
      <c r="D821" s="2"/>
    </row>
    <row r="822" spans="4:4" ht="15.75" customHeight="1" x14ac:dyDescent="0.25">
      <c r="D822" s="2"/>
    </row>
    <row r="823" spans="4:4" ht="15.75" customHeight="1" x14ac:dyDescent="0.25">
      <c r="D823" s="2"/>
    </row>
    <row r="824" spans="4:4" ht="15.75" customHeight="1" x14ac:dyDescent="0.25">
      <c r="D824" s="2"/>
    </row>
    <row r="825" spans="4:4" ht="15.75" customHeight="1" x14ac:dyDescent="0.25">
      <c r="D825" s="2"/>
    </row>
    <row r="826" spans="4:4" ht="15.75" customHeight="1" x14ac:dyDescent="0.25">
      <c r="D826" s="2"/>
    </row>
    <row r="827" spans="4:4" ht="15.75" customHeight="1" x14ac:dyDescent="0.25">
      <c r="D827" s="2"/>
    </row>
    <row r="828" spans="4:4" ht="15.75" customHeight="1" x14ac:dyDescent="0.25">
      <c r="D828" s="2"/>
    </row>
    <row r="829" spans="4:4" ht="15.75" customHeight="1" x14ac:dyDescent="0.25">
      <c r="D829" s="2"/>
    </row>
    <row r="830" spans="4:4" ht="15.75" customHeight="1" x14ac:dyDescent="0.25">
      <c r="D830" s="2"/>
    </row>
    <row r="831" spans="4:4" ht="15.75" customHeight="1" x14ac:dyDescent="0.25">
      <c r="D831" s="2"/>
    </row>
    <row r="832" spans="4:4" ht="15.75" customHeight="1" x14ac:dyDescent="0.25">
      <c r="D832" s="2"/>
    </row>
    <row r="833" spans="4:4" ht="15.75" customHeight="1" x14ac:dyDescent="0.25">
      <c r="D833" s="2"/>
    </row>
    <row r="834" spans="4:4" ht="15.75" customHeight="1" x14ac:dyDescent="0.25">
      <c r="D834" s="2"/>
    </row>
    <row r="835" spans="4:4" ht="15.75" customHeight="1" x14ac:dyDescent="0.25">
      <c r="D835" s="2"/>
    </row>
    <row r="836" spans="4:4" ht="15.75" customHeight="1" x14ac:dyDescent="0.25">
      <c r="D836" s="2"/>
    </row>
    <row r="837" spans="4:4" ht="15.75" customHeight="1" x14ac:dyDescent="0.25">
      <c r="D837" s="2"/>
    </row>
    <row r="838" spans="4:4" ht="15.75" customHeight="1" x14ac:dyDescent="0.25">
      <c r="D838" s="2"/>
    </row>
    <row r="839" spans="4:4" ht="15.75" customHeight="1" x14ac:dyDescent="0.25">
      <c r="D839" s="2"/>
    </row>
    <row r="840" spans="4:4" ht="15.75" customHeight="1" x14ac:dyDescent="0.25">
      <c r="D840" s="2"/>
    </row>
    <row r="841" spans="4:4" ht="15.75" customHeight="1" x14ac:dyDescent="0.25">
      <c r="D841" s="2"/>
    </row>
    <row r="842" spans="4:4" ht="15.75" customHeight="1" x14ac:dyDescent="0.25">
      <c r="D842" s="2"/>
    </row>
    <row r="843" spans="4:4" ht="15.75" customHeight="1" x14ac:dyDescent="0.25">
      <c r="D843" s="2"/>
    </row>
    <row r="844" spans="4:4" ht="15.75" customHeight="1" x14ac:dyDescent="0.25">
      <c r="D844" s="2"/>
    </row>
    <row r="845" spans="4:4" ht="15.75" customHeight="1" x14ac:dyDescent="0.25">
      <c r="D845" s="2"/>
    </row>
    <row r="846" spans="4:4" ht="15.75" customHeight="1" x14ac:dyDescent="0.25">
      <c r="D846" s="2"/>
    </row>
    <row r="847" spans="4:4" ht="15.75" customHeight="1" x14ac:dyDescent="0.25">
      <c r="D847" s="2"/>
    </row>
    <row r="848" spans="4:4" ht="15.75" customHeight="1" x14ac:dyDescent="0.25">
      <c r="D848" s="2"/>
    </row>
    <row r="849" spans="4:4" ht="15.75" customHeight="1" x14ac:dyDescent="0.25">
      <c r="D849" s="2"/>
    </row>
    <row r="850" spans="4:4" ht="15.75" customHeight="1" x14ac:dyDescent="0.25">
      <c r="D850" s="2"/>
    </row>
    <row r="851" spans="4:4" ht="15.75" customHeight="1" x14ac:dyDescent="0.25">
      <c r="D851" s="2"/>
    </row>
    <row r="852" spans="4:4" ht="15.75" customHeight="1" x14ac:dyDescent="0.25">
      <c r="D852" s="2"/>
    </row>
    <row r="853" spans="4:4" ht="15.75" customHeight="1" x14ac:dyDescent="0.25">
      <c r="D853" s="2"/>
    </row>
    <row r="854" spans="4:4" ht="15.75" customHeight="1" x14ac:dyDescent="0.25">
      <c r="D854" s="2"/>
    </row>
    <row r="855" spans="4:4" ht="15.75" customHeight="1" x14ac:dyDescent="0.25">
      <c r="D855" s="2"/>
    </row>
    <row r="856" spans="4:4" ht="15.75" customHeight="1" x14ac:dyDescent="0.25">
      <c r="D856" s="2"/>
    </row>
    <row r="857" spans="4:4" ht="15.75" customHeight="1" x14ac:dyDescent="0.25">
      <c r="D857" s="2"/>
    </row>
    <row r="858" spans="4:4" ht="15.75" customHeight="1" x14ac:dyDescent="0.25">
      <c r="D858" s="2"/>
    </row>
    <row r="859" spans="4:4" ht="15.75" customHeight="1" x14ac:dyDescent="0.25">
      <c r="D859" s="2"/>
    </row>
    <row r="860" spans="4:4" ht="15.75" customHeight="1" x14ac:dyDescent="0.25">
      <c r="D860" s="2"/>
    </row>
    <row r="861" spans="4:4" ht="15.75" customHeight="1" x14ac:dyDescent="0.25">
      <c r="D861" s="2"/>
    </row>
    <row r="862" spans="4:4" ht="15.75" customHeight="1" x14ac:dyDescent="0.25">
      <c r="D862" s="2"/>
    </row>
    <row r="863" spans="4:4" ht="15.75" customHeight="1" x14ac:dyDescent="0.25">
      <c r="D863" s="2"/>
    </row>
    <row r="864" spans="4:4" ht="15.75" customHeight="1" x14ac:dyDescent="0.25">
      <c r="D864" s="2"/>
    </row>
    <row r="865" spans="4:4" ht="15.75" customHeight="1" x14ac:dyDescent="0.25">
      <c r="D865" s="2"/>
    </row>
    <row r="866" spans="4:4" ht="15.75" customHeight="1" x14ac:dyDescent="0.25">
      <c r="D866" s="2"/>
    </row>
    <row r="867" spans="4:4" ht="15.75" customHeight="1" x14ac:dyDescent="0.25">
      <c r="D867" s="2"/>
    </row>
    <row r="868" spans="4:4" ht="15.75" customHeight="1" x14ac:dyDescent="0.25">
      <c r="D868" s="2"/>
    </row>
    <row r="869" spans="4:4" ht="15.75" customHeight="1" x14ac:dyDescent="0.25">
      <c r="D869" s="2"/>
    </row>
    <row r="870" spans="4:4" ht="15.75" customHeight="1" x14ac:dyDescent="0.25">
      <c r="D870" s="2"/>
    </row>
    <row r="871" spans="4:4" ht="15.75" customHeight="1" x14ac:dyDescent="0.25">
      <c r="D871" s="2"/>
    </row>
    <row r="872" spans="4:4" ht="15.75" customHeight="1" x14ac:dyDescent="0.25">
      <c r="D872" s="2"/>
    </row>
    <row r="873" spans="4:4" ht="15.75" customHeight="1" x14ac:dyDescent="0.25">
      <c r="D873" s="2"/>
    </row>
    <row r="874" spans="4:4" ht="15.75" customHeight="1" x14ac:dyDescent="0.25">
      <c r="D874" s="2"/>
    </row>
    <row r="875" spans="4:4" ht="15.75" customHeight="1" x14ac:dyDescent="0.25">
      <c r="D875" s="2"/>
    </row>
    <row r="876" spans="4:4" ht="15.75" customHeight="1" x14ac:dyDescent="0.25">
      <c r="D876" s="2"/>
    </row>
    <row r="877" spans="4:4" ht="15.75" customHeight="1" x14ac:dyDescent="0.25">
      <c r="D877" s="2"/>
    </row>
    <row r="878" spans="4:4" ht="15.75" customHeight="1" x14ac:dyDescent="0.25">
      <c r="D878" s="2"/>
    </row>
    <row r="879" spans="4:4" ht="15.75" customHeight="1" x14ac:dyDescent="0.25">
      <c r="D879" s="2"/>
    </row>
    <row r="880" spans="4:4" ht="15.75" customHeight="1" x14ac:dyDescent="0.25">
      <c r="D880" s="2"/>
    </row>
    <row r="881" spans="4:4" ht="15.75" customHeight="1" x14ac:dyDescent="0.25">
      <c r="D881" s="2"/>
    </row>
    <row r="882" spans="4:4" ht="15.75" customHeight="1" x14ac:dyDescent="0.25">
      <c r="D882" s="2"/>
    </row>
    <row r="883" spans="4:4" ht="15.75" customHeight="1" x14ac:dyDescent="0.25">
      <c r="D883" s="2"/>
    </row>
    <row r="884" spans="4:4" ht="15.75" customHeight="1" x14ac:dyDescent="0.25">
      <c r="D884" s="2"/>
    </row>
    <row r="885" spans="4:4" ht="15.75" customHeight="1" x14ac:dyDescent="0.25">
      <c r="D885" s="2"/>
    </row>
    <row r="886" spans="4:4" ht="15.75" customHeight="1" x14ac:dyDescent="0.25">
      <c r="D886" s="2"/>
    </row>
    <row r="887" spans="4:4" ht="15.75" customHeight="1" x14ac:dyDescent="0.25">
      <c r="D887" s="2"/>
    </row>
    <row r="888" spans="4:4" ht="15.75" customHeight="1" x14ac:dyDescent="0.25">
      <c r="D888" s="2"/>
    </row>
    <row r="889" spans="4:4" ht="15.75" customHeight="1" x14ac:dyDescent="0.25">
      <c r="D889" s="2"/>
    </row>
    <row r="890" spans="4:4" ht="15.75" customHeight="1" x14ac:dyDescent="0.25">
      <c r="D890" s="2"/>
    </row>
    <row r="891" spans="4:4" ht="15.75" customHeight="1" x14ac:dyDescent="0.25">
      <c r="D891" s="2"/>
    </row>
    <row r="892" spans="4:4" ht="15.75" customHeight="1" x14ac:dyDescent="0.25">
      <c r="D892" s="2"/>
    </row>
    <row r="893" spans="4:4" ht="15.75" customHeight="1" x14ac:dyDescent="0.25">
      <c r="D893" s="2"/>
    </row>
    <row r="894" spans="4:4" ht="15.75" customHeight="1" x14ac:dyDescent="0.25">
      <c r="D894" s="2"/>
    </row>
    <row r="895" spans="4:4" ht="15.75" customHeight="1" x14ac:dyDescent="0.25">
      <c r="D895" s="2"/>
    </row>
    <row r="896" spans="4:4" ht="15.75" customHeight="1" x14ac:dyDescent="0.25">
      <c r="D896" s="2"/>
    </row>
    <row r="897" spans="4:4" ht="15.75" customHeight="1" x14ac:dyDescent="0.25">
      <c r="D897" s="2"/>
    </row>
    <row r="898" spans="4:4" ht="15.75" customHeight="1" x14ac:dyDescent="0.25">
      <c r="D898" s="2"/>
    </row>
    <row r="899" spans="4:4" ht="15.75" customHeight="1" x14ac:dyDescent="0.25">
      <c r="D899" s="2"/>
    </row>
    <row r="900" spans="4:4" ht="15.75" customHeight="1" x14ac:dyDescent="0.25">
      <c r="D900" s="2"/>
    </row>
    <row r="901" spans="4:4" ht="15.75" customHeight="1" x14ac:dyDescent="0.25">
      <c r="D901" s="2"/>
    </row>
    <row r="902" spans="4:4" ht="15.75" customHeight="1" x14ac:dyDescent="0.25">
      <c r="D902" s="2"/>
    </row>
    <row r="903" spans="4:4" ht="15.75" customHeight="1" x14ac:dyDescent="0.25">
      <c r="D903" s="2"/>
    </row>
    <row r="904" spans="4:4" ht="15.75" customHeight="1" x14ac:dyDescent="0.25">
      <c r="D904" s="2"/>
    </row>
    <row r="905" spans="4:4" ht="15.75" customHeight="1" x14ac:dyDescent="0.25">
      <c r="D905" s="2"/>
    </row>
    <row r="906" spans="4:4" ht="15.75" customHeight="1" x14ac:dyDescent="0.25">
      <c r="D906" s="2"/>
    </row>
    <row r="907" spans="4:4" ht="15.75" customHeight="1" x14ac:dyDescent="0.25">
      <c r="D907" s="2"/>
    </row>
    <row r="908" spans="4:4" ht="15.75" customHeight="1" x14ac:dyDescent="0.25">
      <c r="D908" s="2"/>
    </row>
    <row r="909" spans="4:4" ht="15.75" customHeight="1" x14ac:dyDescent="0.25">
      <c r="D909" s="2"/>
    </row>
    <row r="910" spans="4:4" ht="15.75" customHeight="1" x14ac:dyDescent="0.25">
      <c r="D910" s="2"/>
    </row>
    <row r="911" spans="4:4" ht="15.75" customHeight="1" x14ac:dyDescent="0.25">
      <c r="D911" s="2"/>
    </row>
    <row r="912" spans="4:4" ht="15.75" customHeight="1" x14ac:dyDescent="0.25">
      <c r="D912" s="2"/>
    </row>
    <row r="913" spans="4:4" ht="15.75" customHeight="1" x14ac:dyDescent="0.25">
      <c r="D913" s="2"/>
    </row>
    <row r="914" spans="4:4" ht="15.75" customHeight="1" x14ac:dyDescent="0.25">
      <c r="D914" s="2"/>
    </row>
    <row r="915" spans="4:4" ht="15.75" customHeight="1" x14ac:dyDescent="0.25">
      <c r="D915" s="2"/>
    </row>
    <row r="916" spans="4:4" ht="15.75" customHeight="1" x14ac:dyDescent="0.25">
      <c r="D916" s="2"/>
    </row>
    <row r="917" spans="4:4" ht="15.75" customHeight="1" x14ac:dyDescent="0.25">
      <c r="D917" s="2"/>
    </row>
    <row r="918" spans="4:4" ht="15.75" customHeight="1" x14ac:dyDescent="0.25">
      <c r="D918" s="2"/>
    </row>
    <row r="919" spans="4:4" ht="15.75" customHeight="1" x14ac:dyDescent="0.25">
      <c r="D919" s="2"/>
    </row>
    <row r="920" spans="4:4" ht="15.75" customHeight="1" x14ac:dyDescent="0.25">
      <c r="D920" s="2"/>
    </row>
    <row r="921" spans="4:4" ht="15.75" customHeight="1" x14ac:dyDescent="0.25">
      <c r="D921" s="2"/>
    </row>
    <row r="922" spans="4:4" ht="15.75" customHeight="1" x14ac:dyDescent="0.25">
      <c r="D922" s="2"/>
    </row>
    <row r="923" spans="4:4" ht="15.75" customHeight="1" x14ac:dyDescent="0.25">
      <c r="D923" s="2"/>
    </row>
    <row r="924" spans="4:4" ht="15.75" customHeight="1" x14ac:dyDescent="0.25">
      <c r="D924" s="2"/>
    </row>
    <row r="925" spans="4:4" ht="15.75" customHeight="1" x14ac:dyDescent="0.25">
      <c r="D925" s="2"/>
    </row>
    <row r="926" spans="4:4" ht="15.75" customHeight="1" x14ac:dyDescent="0.25">
      <c r="D926" s="2"/>
    </row>
    <row r="927" spans="4:4" ht="15.75" customHeight="1" x14ac:dyDescent="0.25">
      <c r="D927" s="2"/>
    </row>
    <row r="928" spans="4:4" ht="15.75" customHeight="1" x14ac:dyDescent="0.25">
      <c r="D928" s="2"/>
    </row>
    <row r="929" spans="4:4" ht="15.75" customHeight="1" x14ac:dyDescent="0.25">
      <c r="D929" s="2"/>
    </row>
    <row r="930" spans="4:4" ht="15.75" customHeight="1" x14ac:dyDescent="0.25">
      <c r="D930" s="2"/>
    </row>
    <row r="931" spans="4:4" ht="15.75" customHeight="1" x14ac:dyDescent="0.25">
      <c r="D931" s="2"/>
    </row>
    <row r="932" spans="4:4" ht="15.75" customHeight="1" x14ac:dyDescent="0.25">
      <c r="D932" s="2"/>
    </row>
    <row r="933" spans="4:4" ht="15.75" customHeight="1" x14ac:dyDescent="0.25">
      <c r="D933" s="2"/>
    </row>
    <row r="934" spans="4:4" ht="15.75" customHeight="1" x14ac:dyDescent="0.25">
      <c r="D934" s="2"/>
    </row>
    <row r="935" spans="4:4" ht="15.75" customHeight="1" x14ac:dyDescent="0.25">
      <c r="D935" s="2"/>
    </row>
    <row r="936" spans="4:4" ht="15.75" customHeight="1" x14ac:dyDescent="0.25">
      <c r="D936" s="2"/>
    </row>
    <row r="937" spans="4:4" ht="15.75" customHeight="1" x14ac:dyDescent="0.25">
      <c r="D937" s="2"/>
    </row>
    <row r="938" spans="4:4" ht="15.75" customHeight="1" x14ac:dyDescent="0.25">
      <c r="D938" s="2"/>
    </row>
    <row r="939" spans="4:4" ht="15.75" customHeight="1" x14ac:dyDescent="0.25">
      <c r="D939" s="2"/>
    </row>
    <row r="940" spans="4:4" ht="15.75" customHeight="1" x14ac:dyDescent="0.25">
      <c r="D940" s="2"/>
    </row>
    <row r="941" spans="4:4" ht="15.75" customHeight="1" x14ac:dyDescent="0.25">
      <c r="D941" s="2"/>
    </row>
    <row r="942" spans="4:4" ht="15.75" customHeight="1" x14ac:dyDescent="0.25">
      <c r="D942" s="2"/>
    </row>
    <row r="943" spans="4:4" ht="15.75" customHeight="1" x14ac:dyDescent="0.25">
      <c r="D943" s="2"/>
    </row>
    <row r="944" spans="4:4" ht="15.75" customHeight="1" x14ac:dyDescent="0.25">
      <c r="D944" s="2"/>
    </row>
    <row r="945" spans="4:4" ht="15.75" customHeight="1" x14ac:dyDescent="0.25">
      <c r="D945" s="2"/>
    </row>
    <row r="946" spans="4:4" ht="15.75" customHeight="1" x14ac:dyDescent="0.25">
      <c r="D946" s="2"/>
    </row>
    <row r="947" spans="4:4" ht="15.75" customHeight="1" x14ac:dyDescent="0.25">
      <c r="D947" s="2"/>
    </row>
    <row r="948" spans="4:4" ht="15.75" customHeight="1" x14ac:dyDescent="0.25">
      <c r="D948" s="2"/>
    </row>
    <row r="949" spans="4:4" ht="15.75" customHeight="1" x14ac:dyDescent="0.25">
      <c r="D949" s="2"/>
    </row>
    <row r="950" spans="4:4" ht="15.75" customHeight="1" x14ac:dyDescent="0.25">
      <c r="D950" s="2"/>
    </row>
    <row r="951" spans="4:4" ht="15.75" customHeight="1" x14ac:dyDescent="0.25">
      <c r="D951" s="2"/>
    </row>
    <row r="952" spans="4:4" ht="15.75" customHeight="1" x14ac:dyDescent="0.25">
      <c r="D952" s="2"/>
    </row>
    <row r="953" spans="4:4" ht="15.75" customHeight="1" x14ac:dyDescent="0.25">
      <c r="D953" s="2"/>
    </row>
    <row r="954" spans="4:4" ht="15.75" customHeight="1" x14ac:dyDescent="0.25">
      <c r="D954" s="2"/>
    </row>
    <row r="955" spans="4:4" ht="15.75" customHeight="1" x14ac:dyDescent="0.25">
      <c r="D955" s="2"/>
    </row>
    <row r="956" spans="4:4" ht="15.75" customHeight="1" x14ac:dyDescent="0.25">
      <c r="D956" s="2"/>
    </row>
    <row r="957" spans="4:4" ht="15.75" customHeight="1" x14ac:dyDescent="0.25">
      <c r="D957" s="2"/>
    </row>
    <row r="958" spans="4:4" ht="15.75" customHeight="1" x14ac:dyDescent="0.25">
      <c r="D958" s="2"/>
    </row>
    <row r="959" spans="4:4" ht="15.75" customHeight="1" x14ac:dyDescent="0.25">
      <c r="D959" s="2"/>
    </row>
    <row r="960" spans="4:4" ht="15.75" customHeight="1" x14ac:dyDescent="0.25">
      <c r="D960" s="2"/>
    </row>
    <row r="961" spans="4:4" ht="15.75" customHeight="1" x14ac:dyDescent="0.25">
      <c r="D961" s="2"/>
    </row>
    <row r="962" spans="4:4" ht="15.75" customHeight="1" x14ac:dyDescent="0.25">
      <c r="D962" s="2"/>
    </row>
    <row r="963" spans="4:4" ht="15.75" customHeight="1" x14ac:dyDescent="0.25">
      <c r="D963" s="2"/>
    </row>
    <row r="964" spans="4:4" ht="15.75" customHeight="1" x14ac:dyDescent="0.25">
      <c r="D964" s="2"/>
    </row>
    <row r="965" spans="4:4" ht="15.75" customHeight="1" x14ac:dyDescent="0.25">
      <c r="D965" s="2"/>
    </row>
    <row r="966" spans="4:4" ht="15.75" customHeight="1" x14ac:dyDescent="0.25">
      <c r="D966" s="2"/>
    </row>
    <row r="967" spans="4:4" ht="15.75" customHeight="1" x14ac:dyDescent="0.25">
      <c r="D967" s="2"/>
    </row>
    <row r="968" spans="4:4" ht="15.75" customHeight="1" x14ac:dyDescent="0.25">
      <c r="D968" s="2"/>
    </row>
    <row r="969" spans="4:4" ht="15.75" customHeight="1" x14ac:dyDescent="0.25">
      <c r="D969" s="2"/>
    </row>
    <row r="970" spans="4:4" ht="15.75" customHeight="1" x14ac:dyDescent="0.25">
      <c r="D970" s="2"/>
    </row>
    <row r="971" spans="4:4" ht="15.75" customHeight="1" x14ac:dyDescent="0.25">
      <c r="D971" s="2"/>
    </row>
    <row r="972" spans="4:4" ht="15.75" customHeight="1" x14ac:dyDescent="0.25">
      <c r="D972" s="2"/>
    </row>
    <row r="973" spans="4:4" ht="15.75" customHeight="1" x14ac:dyDescent="0.25">
      <c r="D973" s="2"/>
    </row>
    <row r="974" spans="4:4" ht="15.75" customHeight="1" x14ac:dyDescent="0.25">
      <c r="D974" s="2"/>
    </row>
    <row r="975" spans="4:4" ht="15.75" customHeight="1" x14ac:dyDescent="0.25">
      <c r="D975" s="2"/>
    </row>
    <row r="976" spans="4:4" ht="15.75" customHeight="1" x14ac:dyDescent="0.25">
      <c r="D976" s="2"/>
    </row>
    <row r="977" spans="4:4" ht="15.75" customHeight="1" x14ac:dyDescent="0.25">
      <c r="D977" s="2"/>
    </row>
    <row r="978" spans="4:4" ht="15.75" customHeight="1" x14ac:dyDescent="0.25">
      <c r="D978" s="2"/>
    </row>
    <row r="979" spans="4:4" ht="15.75" customHeight="1" x14ac:dyDescent="0.25">
      <c r="D979" s="2"/>
    </row>
    <row r="980" spans="4:4" ht="15.75" customHeight="1" x14ac:dyDescent="0.25">
      <c r="D980" s="2"/>
    </row>
    <row r="981" spans="4:4" ht="15.75" customHeight="1" x14ac:dyDescent="0.25">
      <c r="D981" s="2"/>
    </row>
    <row r="982" spans="4:4" ht="15.75" customHeight="1" x14ac:dyDescent="0.25">
      <c r="D982" s="2"/>
    </row>
    <row r="983" spans="4:4" ht="15.75" customHeight="1" x14ac:dyDescent="0.25">
      <c r="D983" s="2"/>
    </row>
    <row r="984" spans="4:4" ht="15.75" customHeight="1" x14ac:dyDescent="0.25">
      <c r="D984" s="2"/>
    </row>
    <row r="985" spans="4:4" ht="15.75" customHeight="1" x14ac:dyDescent="0.25">
      <c r="D985" s="2"/>
    </row>
    <row r="986" spans="4:4" ht="15.75" customHeight="1" x14ac:dyDescent="0.25">
      <c r="D986" s="2"/>
    </row>
    <row r="987" spans="4:4" ht="15.75" customHeight="1" x14ac:dyDescent="0.25">
      <c r="D987" s="2"/>
    </row>
    <row r="988" spans="4:4" ht="15.75" customHeight="1" x14ac:dyDescent="0.25">
      <c r="D988" s="2"/>
    </row>
    <row r="989" spans="4:4" ht="15.75" customHeight="1" x14ac:dyDescent="0.25">
      <c r="D989" s="2"/>
    </row>
    <row r="990" spans="4:4" ht="15.75" customHeight="1" x14ac:dyDescent="0.25">
      <c r="D990" s="2"/>
    </row>
    <row r="991" spans="4:4" ht="15.75" customHeight="1" x14ac:dyDescent="0.25">
      <c r="D991" s="2"/>
    </row>
    <row r="992" spans="4:4" ht="15.75" customHeight="1" x14ac:dyDescent="0.25">
      <c r="D992" s="2"/>
    </row>
    <row r="993" spans="4:4" ht="15.75" customHeight="1" x14ac:dyDescent="0.25">
      <c r="D993" s="2"/>
    </row>
    <row r="994" spans="4:4" ht="15.75" customHeight="1" x14ac:dyDescent="0.25">
      <c r="D994" s="2"/>
    </row>
    <row r="995" spans="4:4" ht="15.75" customHeight="1" x14ac:dyDescent="0.25">
      <c r="D995" s="2"/>
    </row>
    <row r="996" spans="4:4" ht="15.75" customHeight="1" x14ac:dyDescent="0.25">
      <c r="D996" s="2"/>
    </row>
    <row r="997" spans="4:4" ht="15.75" customHeight="1" x14ac:dyDescent="0.25">
      <c r="D997" s="2"/>
    </row>
    <row r="998" spans="4:4" ht="15.75" customHeight="1" x14ac:dyDescent="0.25">
      <c r="D998" s="2"/>
    </row>
    <row r="999" spans="4:4" ht="15.75" customHeight="1" x14ac:dyDescent="0.25">
      <c r="D999" s="2"/>
    </row>
    <row r="1000" spans="4:4" ht="15.75" customHeight="1" x14ac:dyDescent="0.25">
      <c r="D1000" s="2"/>
    </row>
    <row r="1001" spans="4:4" ht="15.75" customHeight="1" x14ac:dyDescent="0.25">
      <c r="D1001" s="2"/>
    </row>
  </sheetData>
  <mergeCells count="1">
    <mergeCell ref="A1:E1"/>
  </mergeCells>
  <dataValidations count="1">
    <dataValidation type="custom" allowBlank="1" showDropDown="1" sqref="E4:E7" xr:uid="{00000000-0002-0000-0B00-000000000000}">
      <formula1>AND(ISNUMBER(E4),(NOT(OR(NOT(ISERROR(DATEVALUE(E4))), AND(ISNUMBER(E4), LEFT(CELL("format", E4))="D")))))</formula1>
    </dataValidation>
  </dataValidations>
  <pageMargins left="0.7" right="0.7" top="0.75" bottom="0.75" header="0" footer="0"/>
  <pageSetup orientation="landscape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K1001"/>
  <sheetViews>
    <sheetView workbookViewId="0"/>
  </sheetViews>
  <sheetFormatPr defaultColWidth="14.42578125" defaultRowHeight="15" customHeight="1" x14ac:dyDescent="0.25"/>
  <cols>
    <col min="1" max="1" width="28.85546875" customWidth="1"/>
    <col min="2" max="2" width="23" customWidth="1"/>
    <col min="3" max="3" width="19.5703125" customWidth="1"/>
    <col min="4" max="4" width="16.85546875" customWidth="1"/>
    <col min="5" max="5" width="14.42578125" customWidth="1"/>
    <col min="6" max="6" width="11.42578125" customWidth="1"/>
    <col min="7" max="7" width="10.7109375" customWidth="1"/>
    <col min="8" max="8" width="16.85546875" customWidth="1"/>
    <col min="9" max="9" width="24.5703125" customWidth="1"/>
    <col min="10" max="10" width="11.7109375" customWidth="1"/>
    <col min="11" max="11" width="18" customWidth="1"/>
  </cols>
  <sheetData>
    <row r="1" spans="1:11" ht="18.75" x14ac:dyDescent="0.3">
      <c r="A1" s="46" t="s">
        <v>871</v>
      </c>
      <c r="B1" s="45"/>
      <c r="C1" s="45"/>
      <c r="D1" s="45"/>
      <c r="E1" s="45"/>
      <c r="F1" s="45"/>
      <c r="G1" s="4" t="s">
        <v>872</v>
      </c>
      <c r="H1" s="4" t="s">
        <v>873</v>
      </c>
    </row>
    <row r="2" spans="1:11" x14ac:dyDescent="0.25">
      <c r="A2" s="21"/>
      <c r="B2" s="21"/>
      <c r="C2" s="21"/>
      <c r="D2" s="21"/>
      <c r="E2" s="21"/>
      <c r="F2" s="21"/>
      <c r="G2" s="3"/>
      <c r="I2" s="4" t="s">
        <v>874</v>
      </c>
      <c r="J2" s="22"/>
      <c r="K2" s="23"/>
    </row>
    <row r="3" spans="1:11" ht="22.5" customHeight="1" x14ac:dyDescent="0.25">
      <c r="A3" s="24" t="s">
        <v>875</v>
      </c>
      <c r="B3" s="24" t="s">
        <v>876</v>
      </c>
      <c r="C3" s="24" t="s">
        <v>877</v>
      </c>
      <c r="D3" s="24" t="s">
        <v>878</v>
      </c>
      <c r="E3" s="24" t="s">
        <v>879</v>
      </c>
      <c r="F3" s="24" t="s">
        <v>880</v>
      </c>
      <c r="G3" s="3" t="s">
        <v>881</v>
      </c>
      <c r="J3" s="22" t="s">
        <v>882</v>
      </c>
      <c r="K3" s="25">
        <f>SUM(D4:D20001)</f>
        <v>34640000</v>
      </c>
    </row>
    <row r="4" spans="1:11" ht="22.5" customHeight="1" x14ac:dyDescent="0.25">
      <c r="A4" s="18" t="s">
        <v>542</v>
      </c>
      <c r="B4" s="18" t="s">
        <v>544</v>
      </c>
      <c r="C4" s="26">
        <v>935694536</v>
      </c>
      <c r="D4" s="27">
        <v>1200000</v>
      </c>
      <c r="E4" s="27">
        <v>1200000</v>
      </c>
      <c r="F4" s="28">
        <f t="shared" ref="F4:F9" si="0">D4-E4</f>
        <v>0</v>
      </c>
      <c r="J4" s="22" t="s">
        <v>883</v>
      </c>
      <c r="K4" s="29">
        <f>SUM(E4:E20001)</f>
        <v>26150000</v>
      </c>
    </row>
    <row r="5" spans="1:11" ht="22.5" customHeight="1" x14ac:dyDescent="0.25">
      <c r="A5" s="18" t="s">
        <v>547</v>
      </c>
      <c r="B5" s="18" t="s">
        <v>549</v>
      </c>
      <c r="C5" s="26">
        <v>983926939</v>
      </c>
      <c r="D5" s="27">
        <v>950000</v>
      </c>
      <c r="E5" s="27">
        <v>950000</v>
      </c>
      <c r="F5" s="28">
        <f t="shared" si="0"/>
        <v>0</v>
      </c>
      <c r="G5" s="3" t="s">
        <v>550</v>
      </c>
      <c r="J5" s="22" t="s">
        <v>884</v>
      </c>
      <c r="K5" s="30">
        <f>SUM(F4:F20001)</f>
        <v>7890000</v>
      </c>
    </row>
    <row r="6" spans="1:11" ht="22.5" customHeight="1" x14ac:dyDescent="0.25">
      <c r="A6" s="18" t="s">
        <v>553</v>
      </c>
      <c r="B6" s="18" t="s">
        <v>555</v>
      </c>
      <c r="C6" s="26">
        <v>377732140</v>
      </c>
      <c r="D6" s="27">
        <v>1200000</v>
      </c>
      <c r="E6" s="27">
        <v>1200000</v>
      </c>
      <c r="F6" s="28">
        <f t="shared" si="0"/>
        <v>0</v>
      </c>
    </row>
    <row r="7" spans="1:11" ht="22.5" customHeight="1" x14ac:dyDescent="0.25">
      <c r="A7" s="18" t="s">
        <v>558</v>
      </c>
      <c r="B7" s="18" t="s">
        <v>560</v>
      </c>
      <c r="C7" s="26">
        <v>364909695</v>
      </c>
      <c r="D7" s="27">
        <v>550000</v>
      </c>
      <c r="E7" s="27">
        <v>550000</v>
      </c>
      <c r="F7" s="28">
        <f t="shared" si="0"/>
        <v>0</v>
      </c>
    </row>
    <row r="8" spans="1:11" ht="22.5" customHeight="1" x14ac:dyDescent="0.25">
      <c r="A8" s="18" t="s">
        <v>563</v>
      </c>
      <c r="B8" s="18" t="s">
        <v>565</v>
      </c>
      <c r="C8" s="26">
        <v>987475125</v>
      </c>
      <c r="D8" s="27">
        <v>600000</v>
      </c>
      <c r="E8" s="27">
        <v>600000</v>
      </c>
      <c r="F8" s="28">
        <f t="shared" si="0"/>
        <v>0</v>
      </c>
    </row>
    <row r="9" spans="1:11" ht="22.5" customHeight="1" x14ac:dyDescent="0.25">
      <c r="A9" s="18" t="s">
        <v>568</v>
      </c>
      <c r="B9" s="18" t="s">
        <v>570</v>
      </c>
      <c r="C9" s="26">
        <v>972947410</v>
      </c>
      <c r="D9" s="27"/>
      <c r="E9" s="27"/>
      <c r="F9" s="28">
        <f t="shared" si="0"/>
        <v>0</v>
      </c>
    </row>
    <row r="10" spans="1:11" ht="15" customHeight="1" x14ac:dyDescent="0.25">
      <c r="A10" s="18" t="s">
        <v>573</v>
      </c>
      <c r="B10" s="18" t="s">
        <v>574</v>
      </c>
      <c r="C10" s="26"/>
      <c r="D10" s="27">
        <v>2300000</v>
      </c>
      <c r="E10" s="27">
        <v>1700000</v>
      </c>
      <c r="F10" s="26"/>
    </row>
    <row r="11" spans="1:11" ht="22.5" customHeight="1" x14ac:dyDescent="0.25">
      <c r="A11" s="18" t="s">
        <v>577</v>
      </c>
      <c r="B11" s="18" t="s">
        <v>578</v>
      </c>
      <c r="C11" s="26"/>
      <c r="D11" s="27">
        <v>700000</v>
      </c>
      <c r="E11" s="27">
        <v>700000</v>
      </c>
      <c r="F11" s="28">
        <f t="shared" ref="F11:F25" si="1">D11-E11</f>
        <v>0</v>
      </c>
    </row>
    <row r="12" spans="1:11" ht="22.5" customHeight="1" x14ac:dyDescent="0.25">
      <c r="A12" s="18" t="s">
        <v>581</v>
      </c>
      <c r="B12" s="18" t="s">
        <v>582</v>
      </c>
      <c r="C12" s="26"/>
      <c r="D12" s="27">
        <v>1000000</v>
      </c>
      <c r="E12" s="27">
        <v>1000000</v>
      </c>
      <c r="F12" s="28">
        <f t="shared" si="1"/>
        <v>0</v>
      </c>
    </row>
    <row r="13" spans="1:11" ht="22.5" customHeight="1" x14ac:dyDescent="0.25">
      <c r="A13" s="18" t="s">
        <v>585</v>
      </c>
      <c r="B13" s="18" t="s">
        <v>586</v>
      </c>
      <c r="C13" s="26"/>
      <c r="D13" s="27">
        <v>250000</v>
      </c>
      <c r="E13" s="27">
        <v>250000</v>
      </c>
      <c r="F13" s="28">
        <f t="shared" si="1"/>
        <v>0</v>
      </c>
    </row>
    <row r="14" spans="1:11" ht="22.5" customHeight="1" x14ac:dyDescent="0.25">
      <c r="A14" s="18" t="s">
        <v>589</v>
      </c>
      <c r="B14" s="18" t="s">
        <v>590</v>
      </c>
      <c r="C14" s="26"/>
      <c r="D14" s="27">
        <v>650000</v>
      </c>
      <c r="E14" s="27">
        <v>650000</v>
      </c>
      <c r="F14" s="28">
        <f t="shared" si="1"/>
        <v>0</v>
      </c>
    </row>
    <row r="15" spans="1:11" ht="22.5" customHeight="1" x14ac:dyDescent="0.25">
      <c r="A15" s="18" t="s">
        <v>573</v>
      </c>
      <c r="B15" s="18" t="s">
        <v>593</v>
      </c>
      <c r="C15" s="26"/>
      <c r="D15" s="27">
        <v>3830000</v>
      </c>
      <c r="E15" s="27">
        <v>1600000</v>
      </c>
      <c r="F15" s="28">
        <f t="shared" si="1"/>
        <v>2230000</v>
      </c>
    </row>
    <row r="16" spans="1:11" ht="22.5" customHeight="1" x14ac:dyDescent="0.25">
      <c r="A16" s="18" t="s">
        <v>597</v>
      </c>
      <c r="B16" s="18" t="s">
        <v>599</v>
      </c>
      <c r="C16" s="26"/>
      <c r="D16" s="27">
        <v>2250000</v>
      </c>
      <c r="E16" s="27">
        <v>2250000</v>
      </c>
      <c r="F16" s="28">
        <f t="shared" si="1"/>
        <v>0</v>
      </c>
      <c r="G16" s="4">
        <v>375064152</v>
      </c>
      <c r="H16" s="11">
        <v>46034</v>
      </c>
    </row>
    <row r="17" spans="1:9" ht="22.5" customHeight="1" x14ac:dyDescent="0.25">
      <c r="A17" s="18" t="s">
        <v>604</v>
      </c>
      <c r="B17" s="18" t="s">
        <v>605</v>
      </c>
      <c r="C17" s="26"/>
      <c r="D17" s="27">
        <v>150000</v>
      </c>
      <c r="E17" s="27">
        <v>150000</v>
      </c>
      <c r="F17" s="28">
        <f t="shared" si="1"/>
        <v>0</v>
      </c>
      <c r="H17" s="11">
        <v>46039</v>
      </c>
    </row>
    <row r="18" spans="1:9" ht="22.5" customHeight="1" x14ac:dyDescent="0.25">
      <c r="A18" s="18" t="s">
        <v>609</v>
      </c>
      <c r="B18" s="18" t="s">
        <v>610</v>
      </c>
      <c r="C18" s="26"/>
      <c r="D18" s="27">
        <v>1500000</v>
      </c>
      <c r="E18" s="27">
        <v>1500000</v>
      </c>
      <c r="F18" s="28">
        <f t="shared" si="1"/>
        <v>0</v>
      </c>
      <c r="H18" s="14">
        <v>46045</v>
      </c>
    </row>
    <row r="19" spans="1:9" ht="22.5" customHeight="1" x14ac:dyDescent="0.25">
      <c r="A19" s="18" t="s">
        <v>609</v>
      </c>
      <c r="B19" s="18" t="s">
        <v>614</v>
      </c>
      <c r="C19" s="26"/>
      <c r="D19" s="27">
        <v>1300000</v>
      </c>
      <c r="E19" s="27">
        <v>1300000</v>
      </c>
      <c r="F19" s="28">
        <f t="shared" si="1"/>
        <v>0</v>
      </c>
      <c r="H19" s="4" t="s">
        <v>613</v>
      </c>
    </row>
    <row r="20" spans="1:9" ht="22.5" customHeight="1" x14ac:dyDescent="0.25">
      <c r="A20" s="18" t="s">
        <v>618</v>
      </c>
      <c r="B20" s="18" t="s">
        <v>885</v>
      </c>
      <c r="C20" s="26"/>
      <c r="D20" s="27">
        <v>1350000</v>
      </c>
      <c r="E20" s="27">
        <v>1350000</v>
      </c>
      <c r="F20" s="28">
        <f t="shared" si="1"/>
        <v>0</v>
      </c>
      <c r="H20" s="4" t="s">
        <v>617</v>
      </c>
    </row>
    <row r="21" spans="1:9" ht="22.5" customHeight="1" x14ac:dyDescent="0.25">
      <c r="A21" s="18" t="s">
        <v>623</v>
      </c>
      <c r="B21" s="18" t="s">
        <v>624</v>
      </c>
      <c r="C21" s="26"/>
      <c r="D21" s="27">
        <v>600000</v>
      </c>
      <c r="E21" s="27"/>
      <c r="F21" s="28">
        <f t="shared" si="1"/>
        <v>600000</v>
      </c>
      <c r="H21" s="31">
        <v>46048</v>
      </c>
    </row>
    <row r="22" spans="1:9" ht="15.75" customHeight="1" x14ac:dyDescent="0.25">
      <c r="A22" s="18" t="s">
        <v>609</v>
      </c>
      <c r="B22" s="18" t="s">
        <v>628</v>
      </c>
      <c r="C22" s="26"/>
      <c r="D22" s="27">
        <v>1200000</v>
      </c>
      <c r="E22" s="27">
        <v>1200000</v>
      </c>
      <c r="F22" s="28">
        <f t="shared" si="1"/>
        <v>0</v>
      </c>
      <c r="H22" s="11">
        <v>46084</v>
      </c>
    </row>
    <row r="23" spans="1:9" ht="15.75" customHeight="1" x14ac:dyDescent="0.25">
      <c r="A23" s="18" t="s">
        <v>632</v>
      </c>
      <c r="B23" s="18" t="s">
        <v>633</v>
      </c>
      <c r="C23" s="26"/>
      <c r="D23" s="27">
        <v>1500000</v>
      </c>
      <c r="E23" s="27">
        <v>1500000</v>
      </c>
      <c r="F23" s="28">
        <f t="shared" si="1"/>
        <v>0</v>
      </c>
      <c r="H23" s="11">
        <v>46088</v>
      </c>
    </row>
    <row r="24" spans="1:9" ht="15.75" customHeight="1" x14ac:dyDescent="0.25">
      <c r="A24" s="32" t="s">
        <v>623</v>
      </c>
      <c r="B24" s="18" t="s">
        <v>637</v>
      </c>
      <c r="C24" s="26"/>
      <c r="D24" s="27">
        <v>80000</v>
      </c>
      <c r="E24" s="27"/>
      <c r="F24" s="28">
        <f t="shared" si="1"/>
        <v>80000</v>
      </c>
      <c r="H24" s="11">
        <v>46101</v>
      </c>
    </row>
    <row r="25" spans="1:9" ht="15.75" customHeight="1" x14ac:dyDescent="0.25">
      <c r="A25" s="18" t="s">
        <v>623</v>
      </c>
      <c r="B25" s="18" t="s">
        <v>641</v>
      </c>
      <c r="C25" s="26"/>
      <c r="D25" s="27">
        <v>1650000</v>
      </c>
      <c r="E25" s="27"/>
      <c r="F25" s="28">
        <f t="shared" si="1"/>
        <v>1650000</v>
      </c>
      <c r="H25" s="11">
        <v>46104</v>
      </c>
    </row>
    <row r="26" spans="1:9" ht="15.75" customHeight="1" x14ac:dyDescent="0.25">
      <c r="A26" s="18" t="s">
        <v>645</v>
      </c>
      <c r="B26" s="18" t="s">
        <v>886</v>
      </c>
      <c r="C26" s="26"/>
      <c r="D26" s="27">
        <v>550000</v>
      </c>
      <c r="E26" s="27">
        <v>550000</v>
      </c>
      <c r="F26" s="26"/>
      <c r="H26" s="11">
        <v>46114</v>
      </c>
    </row>
    <row r="27" spans="1:9" ht="15.75" customHeight="1" x14ac:dyDescent="0.25">
      <c r="A27" s="18" t="s">
        <v>650</v>
      </c>
      <c r="B27" s="18" t="s">
        <v>652</v>
      </c>
      <c r="C27" s="26"/>
      <c r="D27" s="27">
        <v>700000</v>
      </c>
      <c r="E27" s="27">
        <v>700000</v>
      </c>
      <c r="F27" s="28">
        <f t="shared" ref="F27:F51" si="2">D27-E27</f>
        <v>0</v>
      </c>
      <c r="H27" s="11">
        <v>46116</v>
      </c>
      <c r="I27" s="4" t="s">
        <v>887</v>
      </c>
    </row>
    <row r="28" spans="1:9" ht="15.75" customHeight="1" x14ac:dyDescent="0.25">
      <c r="A28" s="18" t="s">
        <v>656</v>
      </c>
      <c r="B28" s="18" t="s">
        <v>888</v>
      </c>
      <c r="C28" s="26"/>
      <c r="D28" s="27">
        <v>1300000</v>
      </c>
      <c r="E28" s="27">
        <v>1300000</v>
      </c>
      <c r="F28" s="28">
        <f t="shared" si="2"/>
        <v>0</v>
      </c>
      <c r="H28" s="14">
        <v>46119</v>
      </c>
    </row>
    <row r="29" spans="1:9" ht="15.75" customHeight="1" x14ac:dyDescent="0.25">
      <c r="A29" s="18" t="s">
        <v>661</v>
      </c>
      <c r="B29" s="18" t="s">
        <v>662</v>
      </c>
      <c r="C29" s="26"/>
      <c r="D29" s="27">
        <v>600000</v>
      </c>
      <c r="E29" s="27"/>
      <c r="F29" s="28">
        <f t="shared" si="2"/>
        <v>600000</v>
      </c>
      <c r="H29" s="11">
        <v>46122</v>
      </c>
    </row>
    <row r="30" spans="1:9" ht="15.75" customHeight="1" x14ac:dyDescent="0.25">
      <c r="A30" s="18" t="s">
        <v>666</v>
      </c>
      <c r="B30" s="18" t="s">
        <v>668</v>
      </c>
      <c r="C30" s="26"/>
      <c r="D30" s="27">
        <v>1250000</v>
      </c>
      <c r="E30" s="27">
        <v>1250000</v>
      </c>
      <c r="F30" s="28">
        <f t="shared" si="2"/>
        <v>0</v>
      </c>
      <c r="H30" s="11">
        <v>46121</v>
      </c>
      <c r="I30" s="4" t="s">
        <v>889</v>
      </c>
    </row>
    <row r="31" spans="1:9" ht="15.75" customHeight="1" x14ac:dyDescent="0.25">
      <c r="A31" s="18" t="s">
        <v>623</v>
      </c>
      <c r="B31" s="18" t="s">
        <v>672</v>
      </c>
      <c r="C31" s="26"/>
      <c r="D31" s="27">
        <v>70000</v>
      </c>
      <c r="E31" s="27"/>
      <c r="F31" s="28">
        <f t="shared" si="2"/>
        <v>70000</v>
      </c>
      <c r="H31" s="11">
        <v>46130</v>
      </c>
    </row>
    <row r="32" spans="1:9" ht="15.75" customHeight="1" x14ac:dyDescent="0.25">
      <c r="A32" s="18" t="s">
        <v>675</v>
      </c>
      <c r="B32" s="18" t="s">
        <v>890</v>
      </c>
      <c r="C32" s="26"/>
      <c r="D32" s="27">
        <v>470000</v>
      </c>
      <c r="E32" s="27">
        <v>470000</v>
      </c>
      <c r="F32" s="28">
        <f t="shared" si="2"/>
        <v>0</v>
      </c>
      <c r="H32" s="11">
        <v>46130</v>
      </c>
    </row>
    <row r="33" spans="1:8" ht="15.75" customHeight="1" x14ac:dyDescent="0.25">
      <c r="A33" s="18" t="s">
        <v>680</v>
      </c>
      <c r="B33" s="18" t="s">
        <v>890</v>
      </c>
      <c r="C33" s="26"/>
      <c r="D33" s="27">
        <v>600000</v>
      </c>
      <c r="E33" s="27">
        <v>600000</v>
      </c>
      <c r="F33" s="28">
        <f t="shared" si="2"/>
        <v>0</v>
      </c>
      <c r="H33" s="11">
        <v>46132</v>
      </c>
    </row>
    <row r="34" spans="1:8" ht="15.75" customHeight="1" x14ac:dyDescent="0.25">
      <c r="A34" s="18" t="s">
        <v>684</v>
      </c>
      <c r="B34" s="18" t="s">
        <v>890</v>
      </c>
      <c r="C34" s="26"/>
      <c r="D34" s="27">
        <v>480000</v>
      </c>
      <c r="E34" s="27">
        <v>480000</v>
      </c>
      <c r="F34" s="28">
        <f t="shared" si="2"/>
        <v>0</v>
      </c>
      <c r="H34" s="11">
        <v>46134</v>
      </c>
    </row>
    <row r="35" spans="1:8" ht="15.75" customHeight="1" x14ac:dyDescent="0.25">
      <c r="A35" s="18" t="s">
        <v>688</v>
      </c>
      <c r="B35" s="18" t="s">
        <v>891</v>
      </c>
      <c r="C35" s="26"/>
      <c r="D35" s="27">
        <v>600000</v>
      </c>
      <c r="E35" s="27"/>
      <c r="F35" s="28">
        <f t="shared" si="2"/>
        <v>600000</v>
      </c>
      <c r="H35" s="11">
        <v>46136</v>
      </c>
    </row>
    <row r="36" spans="1:8" ht="15.75" customHeight="1" x14ac:dyDescent="0.25">
      <c r="A36" s="18" t="s">
        <v>693</v>
      </c>
      <c r="B36" s="18" t="s">
        <v>694</v>
      </c>
      <c r="C36" s="26"/>
      <c r="D36" s="27">
        <v>1150000</v>
      </c>
      <c r="E36" s="27">
        <v>1150000</v>
      </c>
      <c r="F36" s="28">
        <f t="shared" si="2"/>
        <v>0</v>
      </c>
      <c r="H36" s="11">
        <v>46146</v>
      </c>
    </row>
    <row r="37" spans="1:8" ht="15.75" customHeight="1" x14ac:dyDescent="0.25">
      <c r="A37" s="18" t="s">
        <v>892</v>
      </c>
      <c r="B37" s="18" t="s">
        <v>699</v>
      </c>
      <c r="C37" s="26"/>
      <c r="D37" s="27">
        <v>2060000</v>
      </c>
      <c r="E37" s="27"/>
      <c r="F37" s="28">
        <f t="shared" si="2"/>
        <v>2060000</v>
      </c>
      <c r="H37" s="11">
        <v>46147</v>
      </c>
    </row>
    <row r="38" spans="1:8" ht="15.75" customHeight="1" x14ac:dyDescent="0.25">
      <c r="A38" s="18" t="s">
        <v>893</v>
      </c>
      <c r="B38" s="18" t="s">
        <v>703</v>
      </c>
      <c r="C38" s="26"/>
      <c r="D38" s="27"/>
      <c r="E38" s="27"/>
      <c r="F38" s="28">
        <f t="shared" si="2"/>
        <v>0</v>
      </c>
    </row>
    <row r="39" spans="1:8" ht="15.75" customHeight="1" x14ac:dyDescent="0.25">
      <c r="A39" s="18" t="s">
        <v>894</v>
      </c>
      <c r="B39" s="18" t="s">
        <v>707</v>
      </c>
      <c r="C39" s="26"/>
      <c r="D39" s="27"/>
      <c r="E39" s="27"/>
      <c r="F39" s="28">
        <f t="shared" si="2"/>
        <v>0</v>
      </c>
    </row>
    <row r="40" spans="1:8" ht="15.75" customHeight="1" x14ac:dyDescent="0.25">
      <c r="A40" s="18" t="s">
        <v>710</v>
      </c>
      <c r="B40" s="18" t="s">
        <v>711</v>
      </c>
      <c r="C40" s="26"/>
      <c r="D40" s="27"/>
      <c r="E40" s="27"/>
      <c r="F40" s="28">
        <f t="shared" si="2"/>
        <v>0</v>
      </c>
    </row>
    <row r="41" spans="1:8" ht="15.75" customHeight="1" x14ac:dyDescent="0.25">
      <c r="A41" s="18"/>
      <c r="B41" s="18"/>
      <c r="C41" s="26"/>
      <c r="D41" s="27"/>
      <c r="E41" s="27"/>
      <c r="F41" s="28">
        <f t="shared" si="2"/>
        <v>0</v>
      </c>
    </row>
    <row r="42" spans="1:8" ht="15.75" customHeight="1" x14ac:dyDescent="0.25">
      <c r="A42" s="18"/>
      <c r="B42" s="18"/>
      <c r="C42" s="26"/>
      <c r="D42" s="27"/>
      <c r="E42" s="27"/>
      <c r="F42" s="28">
        <f t="shared" si="2"/>
        <v>0</v>
      </c>
    </row>
    <row r="43" spans="1:8" ht="15.75" customHeight="1" x14ac:dyDescent="0.25">
      <c r="A43" s="18"/>
      <c r="B43" s="18"/>
      <c r="C43" s="26"/>
      <c r="D43" s="27"/>
      <c r="E43" s="27"/>
      <c r="F43" s="28">
        <f t="shared" si="2"/>
        <v>0</v>
      </c>
    </row>
    <row r="44" spans="1:8" ht="15.75" customHeight="1" x14ac:dyDescent="0.25">
      <c r="A44" s="18"/>
      <c r="B44" s="18"/>
      <c r="C44" s="26"/>
      <c r="D44" s="27"/>
      <c r="E44" s="27"/>
      <c r="F44" s="28">
        <f t="shared" si="2"/>
        <v>0</v>
      </c>
    </row>
    <row r="45" spans="1:8" ht="15.75" customHeight="1" x14ac:dyDescent="0.25">
      <c r="A45" s="18"/>
      <c r="B45" s="18"/>
      <c r="C45" s="26"/>
      <c r="D45" s="27"/>
      <c r="E45" s="27"/>
      <c r="F45" s="28">
        <f t="shared" si="2"/>
        <v>0</v>
      </c>
    </row>
    <row r="46" spans="1:8" ht="15.75" customHeight="1" x14ac:dyDescent="0.25">
      <c r="A46" s="18"/>
      <c r="B46" s="18"/>
      <c r="C46" s="26"/>
      <c r="D46" s="27"/>
      <c r="E46" s="27"/>
      <c r="F46" s="28">
        <f t="shared" si="2"/>
        <v>0</v>
      </c>
    </row>
    <row r="47" spans="1:8" ht="15.75" customHeight="1" x14ac:dyDescent="0.25">
      <c r="A47" s="18"/>
      <c r="B47" s="18"/>
      <c r="C47" s="26"/>
      <c r="D47" s="27"/>
      <c r="E47" s="27"/>
      <c r="F47" s="28">
        <f t="shared" si="2"/>
        <v>0</v>
      </c>
    </row>
    <row r="48" spans="1:8" ht="15.75" customHeight="1" x14ac:dyDescent="0.25">
      <c r="A48" s="18"/>
      <c r="B48" s="18"/>
      <c r="C48" s="26"/>
      <c r="D48" s="27"/>
      <c r="E48" s="27"/>
      <c r="F48" s="28">
        <f t="shared" si="2"/>
        <v>0</v>
      </c>
    </row>
    <row r="49" spans="1:6" ht="15.75" customHeight="1" x14ac:dyDescent="0.25">
      <c r="A49" s="18"/>
      <c r="B49" s="18"/>
      <c r="C49" s="26"/>
      <c r="D49" s="27"/>
      <c r="E49" s="27"/>
      <c r="F49" s="28">
        <f t="shared" si="2"/>
        <v>0</v>
      </c>
    </row>
    <row r="50" spans="1:6" ht="15.75" customHeight="1" x14ac:dyDescent="0.25">
      <c r="A50" s="18"/>
      <c r="B50" s="18"/>
      <c r="C50" s="26"/>
      <c r="D50" s="27"/>
      <c r="E50" s="27"/>
      <c r="F50" s="28">
        <f t="shared" si="2"/>
        <v>0</v>
      </c>
    </row>
    <row r="51" spans="1:6" ht="15.75" customHeight="1" x14ac:dyDescent="0.25">
      <c r="A51" s="18"/>
      <c r="B51" s="18"/>
      <c r="C51" s="26"/>
      <c r="D51" s="27"/>
      <c r="E51" s="27"/>
      <c r="F51" s="28">
        <f t="shared" si="2"/>
        <v>0</v>
      </c>
    </row>
    <row r="52" spans="1:6" ht="15.75" customHeight="1" x14ac:dyDescent="0.25"/>
    <row r="53" spans="1:6" ht="15.75" customHeight="1" x14ac:dyDescent="0.25"/>
    <row r="54" spans="1:6" ht="15.75" customHeight="1" x14ac:dyDescent="0.25"/>
    <row r="55" spans="1:6" ht="15.75" customHeight="1" x14ac:dyDescent="0.25"/>
    <row r="56" spans="1:6" ht="15.75" customHeight="1" x14ac:dyDescent="0.25"/>
    <row r="57" spans="1:6" ht="15.75" customHeight="1" x14ac:dyDescent="0.25"/>
    <row r="58" spans="1:6" ht="15.75" customHeight="1" x14ac:dyDescent="0.25"/>
    <row r="59" spans="1:6" ht="15.75" customHeight="1" x14ac:dyDescent="0.25"/>
    <row r="60" spans="1:6" ht="15.75" customHeight="1" x14ac:dyDescent="0.25"/>
    <row r="61" spans="1:6" ht="15.75" customHeight="1" x14ac:dyDescent="0.25"/>
    <row r="62" spans="1:6" ht="15.75" customHeight="1" x14ac:dyDescent="0.25"/>
    <row r="63" spans="1:6" ht="15.75" customHeight="1" x14ac:dyDescent="0.25"/>
    <row r="64" spans="1:6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</sheetData>
  <mergeCells count="1">
    <mergeCell ref="A1:F1"/>
  </mergeCells>
  <dataValidations count="1">
    <dataValidation type="custom" allowBlank="1" showDropDown="1" sqref="D4:E51" xr:uid="{00000000-0002-0000-0C00-000000000000}">
      <formula1>AND(ISNUMBER(D4),(NOT(OR(NOT(ISERROR(DATEVALUE(D4))), AND(ISNUMBER(D4), LEFT(CELL("format", D4))="D")))))</formula1>
    </dataValidation>
  </dataValidations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13</vt:i4>
      </vt:variant>
    </vt:vector>
  </HeadingPairs>
  <TitlesOfParts>
    <vt:vector size="13" baseType="lpstr">
      <vt:lpstr>Hướng dẫn</vt:lpstr>
      <vt:lpstr>Tổng quan</vt:lpstr>
      <vt:lpstr>Công nợ đối tác</vt:lpstr>
      <vt:lpstr>Nhập hàng</vt:lpstr>
      <vt:lpstr>Thanh toán</vt:lpstr>
      <vt:lpstr>Trả hàng</vt:lpstr>
      <vt:lpstr>Đơn khách</vt:lpstr>
      <vt:lpstr>Đối tác</vt:lpstr>
      <vt:lpstr>Cảnh báo dữ liệu</vt:lpstr>
      <vt:lpstr>Sheet1</vt:lpstr>
      <vt:lpstr>Tiền chuyển cho long</vt:lpstr>
      <vt:lpstr>Đơn trả lại</vt:lpstr>
      <vt:lpstr>Đơn hàng đã bán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Ле Куанг Хыи -</cp:lastModifiedBy>
  <dcterms:created xsi:type="dcterms:W3CDTF">2026-05-07T21:49:07Z</dcterms:created>
  <dcterms:modified xsi:type="dcterms:W3CDTF">2026-05-26T00:32:20Z</dcterms:modified>
</cp:coreProperties>
</file>