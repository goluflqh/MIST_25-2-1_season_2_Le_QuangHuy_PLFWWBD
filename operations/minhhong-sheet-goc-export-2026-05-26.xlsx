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iền chuyển cho long" sheetId="2" r:id="rId6"/>
    <sheet state="visible" name="Đơn trả lại" sheetId="3" r:id="rId7"/>
    <sheet state="visible" name="Đơn hàng đã bán" sheetId="4" r:id="rId8"/>
  </sheets>
  <definedNames/>
  <calcPr/>
</workbook>
</file>

<file path=xl/sharedStrings.xml><?xml version="1.0" encoding="utf-8"?>
<sst xmlns="http://schemas.openxmlformats.org/spreadsheetml/2006/main" count="272" uniqueCount="227">
  <si>
    <t>THỐNG KÊ THU CHI VẬT TƯ- DỤNG CỤ - ĐỒ NGHỀ</t>
  </si>
  <si>
    <t>@</t>
  </si>
  <si>
    <t xml:space="preserve">HỒNG CHUYỂN  KHOẢN </t>
  </si>
  <si>
    <t>Ngày/tháng/năm</t>
  </si>
  <si>
    <t>TÊN</t>
  </si>
  <si>
    <t>SL</t>
  </si>
  <si>
    <t xml:space="preserve">ĐƠN GIÁ </t>
  </si>
  <si>
    <t>THÀNH  TIỀN</t>
  </si>
  <si>
    <t>GHI CHÚ</t>
  </si>
  <si>
    <t>Người bán</t>
  </si>
  <si>
    <t>TỪ NGÀY RA ĐẾN 24/09/2025</t>
  </si>
  <si>
    <t>TỔNG CỘNG.43.000.000</t>
  </si>
  <si>
    <t xml:space="preserve">40 Khay cân 21700 </t>
  </si>
  <si>
    <t>SHOPEE (xem trong nhóm)</t>
  </si>
  <si>
    <t>2/3/2026.ck 2000000</t>
  </si>
  <si>
    <t>50 Vôn kế bảng sạc đỏ + vàng</t>
  </si>
  <si>
    <t>Khay Cân bằng Hoàng Long</t>
  </si>
  <si>
    <t>Hóa đơn trong nhóm</t>
  </si>
  <si>
    <t>Công tắc Led (2 đợt)</t>
  </si>
  <si>
    <t>Cắt ván + dán chỉ (chỗ Hựu)</t>
  </si>
  <si>
    <t xml:space="preserve">Nguồn 5V cũ </t>
  </si>
  <si>
    <t>Nguồn 5V 60A new tốt</t>
  </si>
  <si>
    <t>Linh kiện - Vật tư nhập về làm</t>
  </si>
  <si>
    <t>Hóa đơn trong nhóm (ngày 4/9)</t>
  </si>
  <si>
    <t>Máy test nội trở + đế + que đo</t>
  </si>
  <si>
    <t xml:space="preserve">Trần Viết Cường </t>
  </si>
  <si>
    <t>Máy hàn cell pin</t>
  </si>
  <si>
    <t>Đã tạm ứng 7,000,000</t>
  </si>
  <si>
    <t>a Tâm</t>
  </si>
  <si>
    <t>Máy  gọt cell pin</t>
  </si>
  <si>
    <t>Bộ test công suất + chống chập</t>
  </si>
  <si>
    <t>Điện tử Lào Cai</t>
  </si>
  <si>
    <t>Máy cấp nguồn 120V 25A</t>
  </si>
  <si>
    <t>Dương Mạnh Ninh</t>
  </si>
  <si>
    <t>Bảng sạc pin</t>
  </si>
  <si>
    <t>combo 5 bảng+tiền tk+VAT+ ship</t>
  </si>
  <si>
    <t>Nguyễn Thành</t>
  </si>
  <si>
    <t>Mạch test dung lượng + trở sứ</t>
  </si>
  <si>
    <t>Máy mài MKT TQ</t>
  </si>
  <si>
    <t>xe Thanh đem về</t>
  </si>
  <si>
    <t>Khoan 3CN starker 10mm đỏ</t>
  </si>
  <si>
    <t>Bulong mkt TQ xám</t>
  </si>
  <si>
    <t>Vít 173 tq xanh</t>
  </si>
  <si>
    <t>Khoan 13mm YMS xanh</t>
  </si>
  <si>
    <t>Đèn led nhỏ</t>
  </si>
  <si>
    <t>Quạt  lồg sắt</t>
  </si>
  <si>
    <t>Kích điện từ pin lên 220v</t>
  </si>
  <si>
    <t>Thiếc hàng nhật 800g 0.8mm</t>
  </si>
  <si>
    <t>Hiếu LK</t>
  </si>
  <si>
    <t>Bộ hộp pin xe điện (có khung+kẽm)</t>
  </si>
  <si>
    <t>gửi xe Thanh chuyển xe bà Hà</t>
  </si>
  <si>
    <t>Tuấn Mạnh AZ</t>
  </si>
  <si>
    <t>Mạch pin 13/14s 40A</t>
  </si>
  <si>
    <t>Sạc 2s2A rẻ</t>
  </si>
  <si>
    <t>sạc 3s2A rẻ</t>
  </si>
  <si>
    <t>Sạc 3s2A thường</t>
  </si>
  <si>
    <t>Sạc 4s2A thường</t>
  </si>
  <si>
    <t>Sạc 5s2A rẻ</t>
  </si>
  <si>
    <t>Sạc 5s2A thường</t>
  </si>
  <si>
    <t>Sạc 5s3A có quạt</t>
  </si>
  <si>
    <t>Jack Xt60</t>
  </si>
  <si>
    <t>Đèn NLMT BC 200w</t>
  </si>
  <si>
    <t>Đèn NLMT pha 300w</t>
  </si>
  <si>
    <t>Đèn NLMT mắt ngọc 300W</t>
  </si>
  <si>
    <t>dây AWG 12</t>
  </si>
  <si>
    <t>Mượn</t>
  </si>
  <si>
    <t>Tổng lần 1</t>
  </si>
  <si>
    <t>phím nhỏ</t>
  </si>
  <si>
    <t>1/2kg giấy 65mm</t>
  </si>
  <si>
    <t>A123</t>
  </si>
  <si>
    <t>mạch 4s 720Alfp new</t>
  </si>
  <si>
    <t>Box 13/145full</t>
  </si>
  <si>
    <t>mạch 13s20Adaly</t>
  </si>
  <si>
    <t>kẽm đôi 02*25,1kg</t>
  </si>
  <si>
    <t>1kg kẽm đơn02*8xr</t>
  </si>
  <si>
    <t>2 vỏ + mạch  bình 30A</t>
  </si>
  <si>
    <t>Phương đem về</t>
  </si>
  <si>
    <t>24 viên pin 33140 EVE</t>
  </si>
  <si>
    <t>VỎ MẠCH 10 CELL</t>
  </si>
  <si>
    <t>Gởi cùng hàng bên nhà</t>
  </si>
  <si>
    <t>VỎ MẠCH 15 CELL</t>
  </si>
  <si>
    <t>VỎ 45A</t>
  </si>
  <si>
    <t>CHÂU CHỞ VỀ</t>
  </si>
  <si>
    <t>PIN33140EVE</t>
  </si>
  <si>
    <t>16 CELL</t>
  </si>
  <si>
    <t>MẠCH 200A CCBTD ,CHỐNG CHẬP</t>
  </si>
  <si>
    <t>SẠC 21V 3A,CÓ QUẠT</t>
  </si>
  <si>
    <t>MÁY XẢ</t>
  </si>
  <si>
    <t>SHIP</t>
  </si>
  <si>
    <t>Vỏ ,mạch ,sạc,laser</t>
  </si>
  <si>
    <t>Sữa máy cắt</t>
  </si>
  <si>
    <t>100k</t>
  </si>
  <si>
    <t>Máy cắt gởi tâm</t>
  </si>
  <si>
    <t>Gởi tâm sài gòn</t>
  </si>
  <si>
    <t>Máy vít 173,pin15cell,sạc nhanh,1 đèn ,đóng lại 2 quả pin 5cell</t>
  </si>
  <si>
    <t xml:space="preserve">Ở bệnh viện đa khoa </t>
  </si>
  <si>
    <t>pin vev 25p</t>
  </si>
  <si>
    <t>60 cell</t>
  </si>
  <si>
    <t>Pin 21700,50E</t>
  </si>
  <si>
    <t>16cell</t>
  </si>
  <si>
    <t>xe quyền</t>
  </si>
  <si>
    <t>vỏ  sạc dự phòng 20ah</t>
  </si>
  <si>
    <t>1 họp nhựa xe điện</t>
  </si>
  <si>
    <t>xe sỹ</t>
  </si>
  <si>
    <t>1 mạch daly 13s30a</t>
  </si>
  <si>
    <t>pinn 21700 ,50e</t>
  </si>
  <si>
    <t>sạc 13s5a</t>
  </si>
  <si>
    <t>Mạch 5s</t>
  </si>
  <si>
    <t>Máy  siết bu lông DTW700</t>
  </si>
  <si>
    <t>Pin 33140eve</t>
  </si>
  <si>
    <t>Sạc 21v3a</t>
  </si>
  <si>
    <t>Mạch bình xe máy</t>
  </si>
  <si>
    <t>Dây điện bãi</t>
  </si>
  <si>
    <t>0,5kg</t>
  </si>
  <si>
    <t>Bộ vỏ 4s</t>
  </si>
  <si>
    <t>Ông ck cho long 2000000</t>
  </si>
  <si>
    <t>ss 50</t>
  </si>
  <si>
    <t>đã tính xong ông còn nợ lại long 20230000</t>
  </si>
  <si>
    <t>hai mươi triệu hai trăm  ba mươi nghìn</t>
  </si>
  <si>
    <t>Tổng lần 2</t>
  </si>
  <si>
    <t xml:space="preserve">Tổng nợ </t>
  </si>
  <si>
    <t>Từ đầu đến ngày 2/3/2026 tc ck cho long là</t>
  </si>
  <si>
    <t>45 000 000</t>
  </si>
  <si>
    <t>NHỮNG ĐƠN HÀNG TRẢ LẠI CHO LONG</t>
  </si>
  <si>
    <t>STT</t>
  </si>
  <si>
    <t>TÊN ĐƠN HÀNG</t>
  </si>
  <si>
    <t>Loại</t>
  </si>
  <si>
    <t>SỐ LƯỢNG</t>
  </si>
  <si>
    <t>THÀNH TIỀN</t>
  </si>
  <si>
    <t>MÁY MÀI MKT TQ</t>
  </si>
  <si>
    <t>PIN21700</t>
  </si>
  <si>
    <t>5V</t>
  </si>
  <si>
    <t>FIN18600</t>
  </si>
  <si>
    <t>6V</t>
  </si>
  <si>
    <t>ĐƠN HÀNG ĐÃ BÁN CHO KHÁCH</t>
  </si>
  <si>
    <t>Sđt</t>
  </si>
  <si>
    <t xml:space="preserve">Ngày mua </t>
  </si>
  <si>
    <t xml:space="preserve">Số điện thoại </t>
  </si>
  <si>
    <t>TÊN FB</t>
  </si>
  <si>
    <t>SẢN PHẨM</t>
  </si>
  <si>
    <t>SỐ ĐIỆN THOẠI</t>
  </si>
  <si>
    <t>SỐ TIỀN</t>
  </si>
  <si>
    <t>TRẢ</t>
  </si>
  <si>
    <t>CÒN</t>
  </si>
  <si>
    <t>Chú thích</t>
  </si>
  <si>
    <t>Tổng tiền:</t>
  </si>
  <si>
    <t>TÂM LÊ</t>
  </si>
  <si>
    <t>1FIN 12AH</t>
  </si>
  <si>
    <t>Tổng đã thu:</t>
  </si>
  <si>
    <t>KHOÁ NGUYỄN</t>
  </si>
  <si>
    <t>1SAC1FIN7,5AH</t>
  </si>
  <si>
    <t>Mạch+đóng</t>
  </si>
  <si>
    <t>Nợ còn:</t>
  </si>
  <si>
    <t>HUỲNH KIỀU</t>
  </si>
  <si>
    <t>1 ĐÈN NL 300W</t>
  </si>
  <si>
    <t>NGUYỄN PHƯỚC THIỆN</t>
  </si>
  <si>
    <t>1 SẠC DỰ PHÒNG 4CELL</t>
  </si>
  <si>
    <t>HÀ LÊ</t>
  </si>
  <si>
    <t>1BINH XE MÁY</t>
  </si>
  <si>
    <t>Bình lâm Tâm</t>
  </si>
  <si>
    <t>Bình 30a</t>
  </si>
  <si>
    <t>Vĩnh bộ đội</t>
  </si>
  <si>
    <t>Bình 45A</t>
  </si>
  <si>
    <t>Vương</t>
  </si>
  <si>
    <t>Pin 15cell</t>
  </si>
  <si>
    <t>Sang</t>
  </si>
  <si>
    <t>Pin15cell-sạc-đèn</t>
  </si>
  <si>
    <t>Liên cơ khí</t>
  </si>
  <si>
    <t>Đèn</t>
  </si>
  <si>
    <t>Anh Hiệp</t>
  </si>
  <si>
    <t>Camera -pin5cell-đèn,sạc</t>
  </si>
  <si>
    <t>Bình 45ah-pin15cell-máy vít -sạc</t>
  </si>
  <si>
    <t>Ut chup,0375064153/12/1/2026</t>
  </si>
  <si>
    <t>Bình 45ah</t>
  </si>
  <si>
    <t>Bi trương</t>
  </si>
  <si>
    <t>Sạc tốt 5a</t>
  </si>
  <si>
    <t>Phế liệu qs</t>
  </si>
  <si>
    <t>Pin15cell,máy bu lông</t>
  </si>
  <si>
    <t>Pin 15cell1máy cắt,sạc</t>
  </si>
  <si>
    <t>37/1/2026</t>
  </si>
  <si>
    <t>Tiên  đoan</t>
  </si>
  <si>
    <t xml:space="preserve">Pin10-15cell,sạc </t>
  </si>
  <si>
    <t>28/012026</t>
  </si>
  <si>
    <t>Khoá</t>
  </si>
  <si>
    <t>Sạc dự phòng</t>
  </si>
  <si>
    <t>Pin15cell,1 máy buloong</t>
  </si>
  <si>
    <t>Mẹ Thêu QM</t>
  </si>
  <si>
    <t>Đèn NL đĩa bay</t>
  </si>
  <si>
    <t>Thay mạch 4s</t>
  </si>
  <si>
    <t>2 pin 15cell+1 sạch nhanh</t>
  </si>
  <si>
    <t>Long rèn</t>
  </si>
  <si>
    <t xml:space="preserve">Pin áo </t>
  </si>
  <si>
    <t>Quốc dinh</t>
  </si>
  <si>
    <t>Pin áo,sạc</t>
  </si>
  <si>
    <t>086 9029139</t>
  </si>
  <si>
    <t>Đội 6 thôn 2</t>
  </si>
  <si>
    <t xml:space="preserve">Đèn năng lượng </t>
  </si>
  <si>
    <t>Thủy hoa t4</t>
  </si>
  <si>
    <t>Pin áo 6cell217</t>
  </si>
  <si>
    <t>Vợ thày đ15</t>
  </si>
  <si>
    <t>Đèn NL,mã</t>
  </si>
  <si>
    <t>039 7504447</t>
  </si>
  <si>
    <t>Sạc 16,8v</t>
  </si>
  <si>
    <t>Quốc đ15</t>
  </si>
  <si>
    <t xml:space="preserve">Pin áo điều hòa </t>
  </si>
  <si>
    <t>Vinh bé sâm</t>
  </si>
  <si>
    <t>Kha đ9</t>
  </si>
  <si>
    <t>Ngọc t1</t>
  </si>
  <si>
    <t xml:space="preserve">Pin áo điều hoà </t>
  </si>
  <si>
    <t>Lê Tâm</t>
  </si>
  <si>
    <t>Pin 20cell</t>
  </si>
  <si>
    <t xml:space="preserve">Nguyễn phước Thiện </t>
  </si>
  <si>
    <t>Bình 12v30ah+quạt 12v</t>
  </si>
  <si>
    <t xml:space="preserve">Tuấn công an </t>
  </si>
  <si>
    <t>1pin 15cell1 xạc</t>
  </si>
  <si>
    <t xml:space="preserve">Chính xe </t>
  </si>
  <si>
    <t>1 pin 15cell</t>
  </si>
  <si>
    <t>Ánh đội 15</t>
  </si>
  <si>
    <t>1 pin 16v</t>
  </si>
  <si>
    <t xml:space="preserve">Lê một </t>
  </si>
  <si>
    <t xml:space="preserve">1 pin áo </t>
  </si>
  <si>
    <t>Nghiệp ly</t>
  </si>
  <si>
    <t>1 pin 10cell</t>
  </si>
  <si>
    <t>5Hiệp</t>
  </si>
  <si>
    <t>Máy cắt</t>
  </si>
  <si>
    <t>Toàn đào</t>
  </si>
  <si>
    <t>Máy bulong+pin10cell+sạc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</si>
</sst>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#,##0\ [$đ-42A]"/>
    <numFmt numFmtId="167" formatCode="d/m/yy"/>
  </numFmts>
  <fonts count="10">
    <font>
      <sz val="11.0"/>
      <color theme="1"/>
      <name val="Calibri"/>
      <scheme val="minor"/>
    </font>
    <font>
      <b/>
      <sz val="2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b/>
      <sz val="12.0"/>
      <color theme="1"/>
      <name val="Calibri"/>
    </font>
    <font/>
    <font>
      <b/>
      <sz val="14.0"/>
      <color theme="1"/>
      <name val="Calibri"/>
    </font>
    <font>
      <sz val="11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B6DDE8"/>
        <bgColor rgb="FFB6DDE8"/>
      </patternFill>
    </fill>
    <fill>
      <patternFill patternType="solid">
        <fgColor rgb="FFFF3300"/>
        <bgColor rgb="FFFF33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right"/>
    </xf>
    <xf borderId="0" fillId="0" fontId="2" numFmtId="3" xfId="0" applyFont="1" applyNumberFormat="1"/>
    <xf borderId="0" fillId="0" fontId="2" numFmtId="3" xfId="0" applyAlignment="1" applyFont="1" applyNumberFormat="1">
      <alignment horizontal="left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0" fontId="3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0" fillId="0" fontId="3" numFmtId="165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3" numFmtId="3" xfId="0" applyFont="1" applyNumberFormat="1"/>
    <xf borderId="2" fillId="2" fontId="6" numFmtId="0" xfId="0" applyAlignment="1" applyBorder="1" applyFill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horizontal="center"/>
    </xf>
    <xf borderId="2" fillId="3" fontId="8" numFmtId="0" xfId="0" applyAlignment="1" applyBorder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4" fontId="2" numFmtId="3" xfId="0" applyFill="1" applyFont="1" applyNumberFormat="1"/>
    <xf borderId="0" fillId="0" fontId="4" numFmtId="0" xfId="0" applyAlignment="1" applyFont="1">
      <alignment horizontal="center" readingOrder="0" shrinkToFit="0" vertical="center" wrapText="0"/>
    </xf>
    <xf borderId="5" fillId="5" fontId="2" numFmtId="3" xfId="0" applyBorder="1" applyFill="1" applyFont="1" applyNumberFormat="1"/>
    <xf borderId="0" fillId="0" fontId="2" numFmtId="0" xfId="0" applyAlignment="1" applyFont="1">
      <alignment horizontal="right"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horizontal="right" shrinkToFit="0" vertical="center" wrapText="0"/>
    </xf>
    <xf borderId="5" fillId="6" fontId="2" numFmtId="3" xfId="0" applyBorder="1" applyFill="1" applyFont="1" applyNumberFormat="1"/>
    <xf borderId="0" fillId="0" fontId="2" numFmtId="166" xfId="0" applyAlignment="1" applyFont="1" applyNumberFormat="1">
      <alignment readingOrder="0" shrinkToFit="0" vertical="center" wrapText="0"/>
    </xf>
    <xf borderId="5" fillId="7" fontId="9" numFmtId="3" xfId="0" applyBorder="1" applyFill="1" applyFont="1" applyNumberForma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3" numFmtId="167" xfId="0" applyAlignment="1" applyFont="1" applyNumberFormat="1">
      <alignment readingOrder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Đơn trả lạ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Đơn hàng đã bá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7" displayName="Bảng_2" name="Bảng_2" id="1">
  <tableColumns count="5">
    <tableColumn name="STT" id="1"/>
    <tableColumn name="TÊN ĐƠN HÀNG" id="2"/>
    <tableColumn name="Loại" id="3"/>
    <tableColumn name="SỐ LƯỢNG" id="4"/>
    <tableColumn name="THÀNH TIỀN" id="5"/>
  </tableColumns>
  <tableStyleInfo name="Đơn trả lại-style" showColumnStripes="0" showFirstColumn="1" showLastColumn="1" showRowStripes="1"/>
</table>
</file>

<file path=xl/tables/table2.xml><?xml version="1.0" encoding="utf-8"?>
<table xmlns="http://schemas.openxmlformats.org/spreadsheetml/2006/main" ref="A3:F51" displayName="Bảng_1" name="Bảng_1" id="2">
  <tableColumns count="6">
    <tableColumn name="TÊN FB" id="1"/>
    <tableColumn name="SẢN PHẨM" id="2"/>
    <tableColumn name="SỐ ĐIỆN THOẠI" id="3"/>
    <tableColumn name="SỐ TIỀN" id="4"/>
    <tableColumn name="TRẢ" id="5"/>
    <tableColumn name="CÒN" id="6"/>
  </tableColumns>
  <tableStyleInfo name="Đơn hàng đã bá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36.71"/>
    <col customWidth="1" min="3" max="3" width="8.0"/>
    <col customWidth="1" min="4" max="4" width="36.71"/>
    <col customWidth="1" min="5" max="5" width="14.43"/>
    <col customWidth="1" min="6" max="6" width="11.0"/>
    <col customWidth="1" min="7" max="7" width="20.71"/>
    <col customWidth="1" min="8" max="8" width="29.43"/>
    <col customWidth="1" min="9" max="9" width="17.14"/>
    <col customWidth="1" min="10" max="10" width="32.14"/>
  </cols>
  <sheetData>
    <row r="1" ht="26.25" customHeight="1">
      <c r="C1" s="1" t="s">
        <v>0</v>
      </c>
      <c r="D1" s="2"/>
      <c r="E1" s="3" t="s">
        <v>1</v>
      </c>
      <c r="J1" s="4" t="s">
        <v>2</v>
      </c>
    </row>
    <row r="2">
      <c r="A2" s="5" t="s">
        <v>3</v>
      </c>
      <c r="B2" s="3" t="s">
        <v>4</v>
      </c>
      <c r="C2" s="3" t="s">
        <v>5</v>
      </c>
      <c r="D2" s="3" t="s">
        <v>6</v>
      </c>
      <c r="G2" s="3" t="s">
        <v>7</v>
      </c>
      <c r="H2" s="2" t="s">
        <v>8</v>
      </c>
      <c r="I2" s="3" t="s">
        <v>9</v>
      </c>
      <c r="J2" s="4" t="s">
        <v>10</v>
      </c>
    </row>
    <row r="3">
      <c r="G3" s="6"/>
      <c r="J3" s="4" t="s">
        <v>11</v>
      </c>
    </row>
    <row r="4">
      <c r="A4" s="6">
        <v>1.0</v>
      </c>
      <c r="B4" s="3" t="s">
        <v>12</v>
      </c>
      <c r="C4" s="3">
        <v>40.0</v>
      </c>
      <c r="D4" s="7"/>
      <c r="E4" s="8"/>
      <c r="G4" s="9">
        <v>637700.0</v>
      </c>
      <c r="H4" s="3" t="s">
        <v>13</v>
      </c>
      <c r="J4" s="4" t="s">
        <v>14</v>
      </c>
    </row>
    <row r="5">
      <c r="A5" s="6">
        <v>2.0</v>
      </c>
      <c r="B5" s="3" t="s">
        <v>15</v>
      </c>
      <c r="C5" s="3">
        <v>50.0</v>
      </c>
      <c r="D5" s="10"/>
      <c r="G5" s="9">
        <v>595300.0</v>
      </c>
      <c r="H5" s="3" t="s">
        <v>13</v>
      </c>
    </row>
    <row r="6">
      <c r="A6" s="6">
        <v>3.0</v>
      </c>
      <c r="B6" s="3" t="s">
        <v>16</v>
      </c>
      <c r="D6" s="10"/>
      <c r="G6" s="9">
        <v>5090000.0</v>
      </c>
      <c r="H6" s="3" t="s">
        <v>17</v>
      </c>
    </row>
    <row r="7">
      <c r="A7" s="6">
        <v>4.0</v>
      </c>
      <c r="B7" s="3" t="s">
        <v>18</v>
      </c>
      <c r="C7" s="3">
        <v>16.0</v>
      </c>
      <c r="D7" s="7">
        <v>20000.0</v>
      </c>
      <c r="G7" s="9">
        <v>320000.0</v>
      </c>
      <c r="H7" s="3" t="s">
        <v>17</v>
      </c>
    </row>
    <row r="8">
      <c r="A8" s="6">
        <v>5.0</v>
      </c>
      <c r="B8" s="3" t="s">
        <v>19</v>
      </c>
      <c r="D8" s="10"/>
      <c r="G8" s="9">
        <v>300000.0</v>
      </c>
      <c r="H8" s="3" t="s">
        <v>17</v>
      </c>
    </row>
    <row r="9">
      <c r="A9" s="6">
        <v>6.0</v>
      </c>
      <c r="B9" s="3" t="s">
        <v>20</v>
      </c>
      <c r="C9" s="3">
        <v>2.0</v>
      </c>
      <c r="D9" s="7">
        <v>80000.0</v>
      </c>
      <c r="G9" s="9">
        <v>160000.0</v>
      </c>
      <c r="H9" s="3" t="s">
        <v>17</v>
      </c>
    </row>
    <row r="10">
      <c r="A10" s="6">
        <v>7.0</v>
      </c>
      <c r="B10" s="3" t="s">
        <v>21</v>
      </c>
      <c r="C10" s="3">
        <v>2.0</v>
      </c>
      <c r="D10" s="7">
        <v>235000.0</v>
      </c>
      <c r="G10" s="9">
        <v>470000.0</v>
      </c>
      <c r="H10" s="3" t="s">
        <v>17</v>
      </c>
    </row>
    <row r="11">
      <c r="A11" s="6">
        <v>8.0</v>
      </c>
      <c r="B11" s="3" t="s">
        <v>22</v>
      </c>
      <c r="D11" s="10"/>
      <c r="G11" s="9">
        <v>3352000.0</v>
      </c>
      <c r="H11" s="3" t="s">
        <v>23</v>
      </c>
    </row>
    <row r="12">
      <c r="A12" s="6">
        <v>9.0</v>
      </c>
      <c r="B12" s="3" t="s">
        <v>24</v>
      </c>
      <c r="D12" s="10"/>
      <c r="G12" s="9">
        <v>800000.0</v>
      </c>
      <c r="H12" s="3" t="s">
        <v>17</v>
      </c>
      <c r="I12" s="3" t="s">
        <v>25</v>
      </c>
    </row>
    <row r="13">
      <c r="A13" s="6">
        <v>10.0</v>
      </c>
      <c r="B13" s="3" t="s">
        <v>26</v>
      </c>
      <c r="C13" s="3">
        <v>1.0</v>
      </c>
      <c r="D13" s="11">
        <v>1.0</v>
      </c>
      <c r="G13" s="9">
        <v>8500000.0</v>
      </c>
      <c r="H13" s="3" t="s">
        <v>27</v>
      </c>
      <c r="I13" s="3" t="s">
        <v>28</v>
      </c>
    </row>
    <row r="14">
      <c r="A14" s="6">
        <v>11.0</v>
      </c>
      <c r="B14" s="3" t="s">
        <v>29</v>
      </c>
      <c r="C14" s="3">
        <v>1.0</v>
      </c>
      <c r="D14" s="10"/>
      <c r="G14" s="9">
        <v>2200000.0</v>
      </c>
      <c r="I14" s="3" t="s">
        <v>28</v>
      </c>
    </row>
    <row r="15">
      <c r="A15" s="6">
        <v>12.0</v>
      </c>
      <c r="B15" s="3" t="s">
        <v>30</v>
      </c>
      <c r="C15" s="3">
        <v>1.0</v>
      </c>
      <c r="D15" s="10"/>
      <c r="G15" s="9">
        <v>500000.0</v>
      </c>
      <c r="I15" s="3" t="s">
        <v>31</v>
      </c>
    </row>
    <row r="16">
      <c r="A16" s="6">
        <v>13.0</v>
      </c>
      <c r="B16" s="3" t="s">
        <v>32</v>
      </c>
      <c r="C16" s="3">
        <v>1.0</v>
      </c>
      <c r="D16" s="10"/>
      <c r="G16" s="9">
        <v>2800000.0</v>
      </c>
      <c r="I16" s="3" t="s">
        <v>33</v>
      </c>
    </row>
    <row r="17">
      <c r="A17" s="6">
        <v>14.0</v>
      </c>
      <c r="B17" s="3" t="s">
        <v>34</v>
      </c>
      <c r="C17" s="3">
        <v>1.0</v>
      </c>
      <c r="D17" s="10"/>
      <c r="G17" s="9">
        <v>3200000.0</v>
      </c>
      <c r="H17" s="3" t="s">
        <v>35</v>
      </c>
      <c r="I17" s="3" t="s">
        <v>36</v>
      </c>
    </row>
    <row r="18">
      <c r="A18" s="6">
        <v>15.0</v>
      </c>
      <c r="B18" s="3" t="s">
        <v>37</v>
      </c>
      <c r="C18" s="3">
        <v>25.0</v>
      </c>
      <c r="D18" s="10"/>
      <c r="G18" s="9">
        <v>812500.0</v>
      </c>
      <c r="H18" s="3" t="s">
        <v>13</v>
      </c>
    </row>
    <row r="19">
      <c r="A19" s="6">
        <v>16.0</v>
      </c>
      <c r="B19" s="3" t="s">
        <v>37</v>
      </c>
      <c r="C19" s="3">
        <v>20.0</v>
      </c>
      <c r="D19" s="10"/>
      <c r="G19" s="9">
        <v>653000.0</v>
      </c>
      <c r="H19" s="3" t="s">
        <v>13</v>
      </c>
    </row>
    <row r="20">
      <c r="A20" s="6">
        <v>17.0</v>
      </c>
      <c r="B20" s="3" t="s">
        <v>38</v>
      </c>
      <c r="C20" s="3">
        <v>1.0</v>
      </c>
      <c r="D20" s="10"/>
      <c r="G20" s="9">
        <v>350000.0</v>
      </c>
      <c r="H20" s="3" t="s">
        <v>39</v>
      </c>
    </row>
    <row r="21" ht="15.75" customHeight="1">
      <c r="A21" s="6">
        <v>18.0</v>
      </c>
      <c r="B21" s="3" t="s">
        <v>40</v>
      </c>
      <c r="C21" s="3">
        <v>1.0</v>
      </c>
      <c r="D21" s="10"/>
      <c r="G21" s="9">
        <v>260000.0</v>
      </c>
      <c r="H21" s="3" t="s">
        <v>39</v>
      </c>
    </row>
    <row r="22" ht="15.75" customHeight="1">
      <c r="A22" s="6">
        <v>19.0</v>
      </c>
      <c r="B22" s="3" t="s">
        <v>41</v>
      </c>
      <c r="C22" s="3">
        <v>1.0</v>
      </c>
      <c r="D22" s="10"/>
      <c r="G22" s="9">
        <v>240000.0</v>
      </c>
      <c r="H22" s="3" t="s">
        <v>39</v>
      </c>
    </row>
    <row r="23" ht="15.75" customHeight="1">
      <c r="A23" s="6">
        <v>20.0</v>
      </c>
      <c r="B23" s="3" t="s">
        <v>42</v>
      </c>
      <c r="C23" s="3">
        <v>1.0</v>
      </c>
      <c r="D23" s="10"/>
      <c r="G23" s="9">
        <v>420000.0</v>
      </c>
      <c r="H23" s="3" t="s">
        <v>39</v>
      </c>
    </row>
    <row r="24" ht="15.75" customHeight="1">
      <c r="A24" s="6">
        <v>21.0</v>
      </c>
      <c r="B24" s="3" t="s">
        <v>43</v>
      </c>
      <c r="C24" s="3">
        <v>1.0</v>
      </c>
      <c r="D24" s="10"/>
      <c r="G24" s="9">
        <v>800000.0</v>
      </c>
      <c r="H24" s="3" t="s">
        <v>39</v>
      </c>
    </row>
    <row r="25" ht="15.75" customHeight="1">
      <c r="A25" s="6">
        <v>22.0</v>
      </c>
      <c r="B25" s="3" t="s">
        <v>44</v>
      </c>
      <c r="C25" s="3">
        <v>1.0</v>
      </c>
      <c r="D25" s="10"/>
      <c r="G25" s="9">
        <v>100000.0</v>
      </c>
      <c r="H25" s="3" t="s">
        <v>39</v>
      </c>
    </row>
    <row r="26" ht="15.75" customHeight="1">
      <c r="A26" s="6">
        <v>23.0</v>
      </c>
      <c r="B26" s="3" t="s">
        <v>45</v>
      </c>
      <c r="C26" s="3">
        <v>1.0</v>
      </c>
      <c r="D26" s="10"/>
      <c r="G26" s="9">
        <v>115000.0</v>
      </c>
      <c r="H26" s="3" t="s">
        <v>39</v>
      </c>
    </row>
    <row r="27" ht="15.75" customHeight="1">
      <c r="A27" s="6">
        <v>24.0</v>
      </c>
      <c r="B27" s="3" t="s">
        <v>46</v>
      </c>
      <c r="C27" s="3">
        <v>1.0</v>
      </c>
      <c r="D27" s="10"/>
      <c r="G27" s="9">
        <v>250000.0</v>
      </c>
      <c r="H27" s="3" t="s">
        <v>39</v>
      </c>
    </row>
    <row r="28" ht="15.75" customHeight="1">
      <c r="B28" s="3" t="s">
        <v>47</v>
      </c>
      <c r="C28" s="3">
        <v>1.0</v>
      </c>
      <c r="D28" s="7">
        <v>580000.0</v>
      </c>
      <c r="G28" s="9">
        <v>580000.0</v>
      </c>
      <c r="H28" s="3" t="s">
        <v>39</v>
      </c>
      <c r="I28" s="3" t="s">
        <v>48</v>
      </c>
    </row>
    <row r="29" ht="15.75" customHeight="1">
      <c r="A29" s="6">
        <v>25.0</v>
      </c>
      <c r="B29" s="3" t="s">
        <v>49</v>
      </c>
      <c r="C29" s="3">
        <v>1.0</v>
      </c>
      <c r="D29" s="10"/>
      <c r="G29" s="9">
        <v>160000.0</v>
      </c>
      <c r="H29" s="3" t="s">
        <v>50</v>
      </c>
      <c r="I29" s="3" t="s">
        <v>51</v>
      </c>
    </row>
    <row r="30" ht="15.75" customHeight="1">
      <c r="A30" s="6">
        <v>26.0</v>
      </c>
      <c r="B30" s="3" t="s">
        <v>52</v>
      </c>
      <c r="C30" s="3">
        <v>1.0</v>
      </c>
      <c r="D30" s="10"/>
      <c r="G30" s="9">
        <v>160000.0</v>
      </c>
      <c r="H30" s="3" t="s">
        <v>50</v>
      </c>
    </row>
    <row r="31" ht="15.75" customHeight="1">
      <c r="A31" s="6">
        <v>27.0</v>
      </c>
      <c r="B31" s="3" t="s">
        <v>53</v>
      </c>
      <c r="C31" s="3">
        <v>2.0</v>
      </c>
      <c r="D31" s="10">
        <v>30000.0</v>
      </c>
      <c r="G31" s="9">
        <f t="shared" ref="G31:G38" si="1">C31*D31</f>
        <v>60000</v>
      </c>
      <c r="H31" s="3" t="s">
        <v>50</v>
      </c>
    </row>
    <row r="32" ht="15.75" customHeight="1">
      <c r="A32" s="6">
        <v>28.0</v>
      </c>
      <c r="B32" s="3" t="s">
        <v>54</v>
      </c>
      <c r="C32" s="3">
        <v>2.0</v>
      </c>
      <c r="D32" s="10">
        <v>30000.0</v>
      </c>
      <c r="G32" s="9">
        <f t="shared" si="1"/>
        <v>60000</v>
      </c>
      <c r="H32" s="3" t="s">
        <v>50</v>
      </c>
    </row>
    <row r="33" ht="15.75" customHeight="1">
      <c r="A33" s="6">
        <v>29.0</v>
      </c>
      <c r="B33" s="3" t="s">
        <v>55</v>
      </c>
      <c r="C33" s="3">
        <v>2.0</v>
      </c>
      <c r="D33" s="7">
        <v>55000.0</v>
      </c>
      <c r="G33" s="9">
        <f t="shared" si="1"/>
        <v>110000</v>
      </c>
      <c r="H33" s="3" t="s">
        <v>50</v>
      </c>
    </row>
    <row r="34" ht="15.75" customHeight="1">
      <c r="A34" s="6">
        <v>30.0</v>
      </c>
      <c r="B34" s="3" t="s">
        <v>56</v>
      </c>
      <c r="C34" s="3">
        <v>2.0</v>
      </c>
      <c r="D34" s="7">
        <v>55000.0</v>
      </c>
      <c r="G34" s="9">
        <f t="shared" si="1"/>
        <v>110000</v>
      </c>
      <c r="H34" s="3" t="s">
        <v>50</v>
      </c>
    </row>
    <row r="35" ht="15.75" customHeight="1">
      <c r="B35" s="3" t="s">
        <v>57</v>
      </c>
      <c r="C35" s="3">
        <v>2.0</v>
      </c>
      <c r="D35" s="7">
        <v>30000.0</v>
      </c>
      <c r="G35" s="9">
        <f t="shared" si="1"/>
        <v>60000</v>
      </c>
      <c r="H35" s="3" t="s">
        <v>50</v>
      </c>
    </row>
    <row r="36" ht="15.75" customHeight="1">
      <c r="B36" s="3" t="s">
        <v>58</v>
      </c>
      <c r="C36" s="3">
        <v>2.0</v>
      </c>
      <c r="D36" s="7">
        <v>55000.0</v>
      </c>
      <c r="G36" s="9">
        <f t="shared" si="1"/>
        <v>110000</v>
      </c>
      <c r="H36" s="3" t="s">
        <v>50</v>
      </c>
    </row>
    <row r="37" ht="15.75" customHeight="1">
      <c r="B37" s="3" t="s">
        <v>59</v>
      </c>
      <c r="C37" s="3">
        <v>2.0</v>
      </c>
      <c r="D37" s="7">
        <v>110000.0</v>
      </c>
      <c r="G37" s="9">
        <f t="shared" si="1"/>
        <v>220000</v>
      </c>
      <c r="H37" s="3" t="s">
        <v>50</v>
      </c>
    </row>
    <row r="38" ht="15.75" customHeight="1">
      <c r="B38" s="3" t="s">
        <v>60</v>
      </c>
      <c r="C38" s="3">
        <v>4.0</v>
      </c>
      <c r="D38" s="7">
        <v>3500.0</v>
      </c>
      <c r="G38" s="9">
        <f t="shared" si="1"/>
        <v>14000</v>
      </c>
      <c r="H38" s="3" t="s">
        <v>50</v>
      </c>
    </row>
    <row r="39" ht="15.75" customHeight="1">
      <c r="B39" s="3" t="s">
        <v>61</v>
      </c>
      <c r="C39" s="3">
        <v>1.0</v>
      </c>
      <c r="D39" s="7"/>
      <c r="G39" s="9">
        <v>700000.0</v>
      </c>
      <c r="H39" s="3" t="s">
        <v>50</v>
      </c>
    </row>
    <row r="40" ht="15.75" customHeight="1">
      <c r="B40" s="3" t="s">
        <v>62</v>
      </c>
      <c r="C40" s="3">
        <v>1.0</v>
      </c>
      <c r="D40" s="7"/>
      <c r="G40" s="9">
        <v>950000.0</v>
      </c>
      <c r="H40" s="3" t="s">
        <v>50</v>
      </c>
    </row>
    <row r="41" ht="15.75" customHeight="1">
      <c r="B41" s="3" t="s">
        <v>63</v>
      </c>
      <c r="C41" s="3">
        <v>1.0</v>
      </c>
      <c r="D41" s="7"/>
      <c r="G41" s="9">
        <v>950000.0</v>
      </c>
      <c r="H41" s="3" t="s">
        <v>50</v>
      </c>
    </row>
    <row r="42" ht="15.75" customHeight="1">
      <c r="B42" s="3" t="s">
        <v>64</v>
      </c>
      <c r="C42" s="3">
        <v>4.0</v>
      </c>
      <c r="D42" s="12" t="s">
        <v>65</v>
      </c>
      <c r="G42" s="6">
        <v>0.0</v>
      </c>
      <c r="H42" s="3" t="s">
        <v>50</v>
      </c>
    </row>
    <row r="43" ht="15.75" customHeight="1">
      <c r="A43" s="13"/>
      <c r="D43" s="14"/>
      <c r="G43" s="8"/>
    </row>
    <row r="44" ht="15.75" customHeight="1">
      <c r="D44" s="4" t="s">
        <v>66</v>
      </c>
      <c r="G44" s="8">
        <f>SUM(G4:G41)</f>
        <v>37169500</v>
      </c>
    </row>
    <row r="45" ht="15.75" customHeight="1">
      <c r="B45" s="3" t="s">
        <v>67</v>
      </c>
      <c r="C45" s="3">
        <v>10.0</v>
      </c>
      <c r="D45" s="8">
        <v>36000.0</v>
      </c>
      <c r="G45" s="8">
        <v>360000.0</v>
      </c>
    </row>
    <row r="46" ht="15.75" customHeight="1">
      <c r="B46" s="3" t="s">
        <v>68</v>
      </c>
      <c r="G46" s="8">
        <v>110000.0</v>
      </c>
    </row>
    <row r="47" ht="15.75" customHeight="1">
      <c r="B47" s="3" t="s">
        <v>69</v>
      </c>
      <c r="C47" s="3">
        <v>50.0</v>
      </c>
      <c r="D47" s="8">
        <v>23000.0</v>
      </c>
      <c r="G47" s="8">
        <v>1150000.0</v>
      </c>
    </row>
    <row r="48" ht="15.75" customHeight="1">
      <c r="B48" s="3" t="s">
        <v>70</v>
      </c>
      <c r="C48" s="3">
        <v>3.0</v>
      </c>
      <c r="D48" s="8">
        <v>110000.0</v>
      </c>
      <c r="G48" s="8">
        <v>330000.0</v>
      </c>
    </row>
    <row r="49" ht="15.75" customHeight="1">
      <c r="B49" s="3" t="s">
        <v>71</v>
      </c>
      <c r="C49" s="3">
        <v>4.0</v>
      </c>
      <c r="D49" s="8">
        <v>120000.0</v>
      </c>
      <c r="G49" s="8">
        <v>480000.0</v>
      </c>
    </row>
    <row r="50" ht="15.75" customHeight="1">
      <c r="B50" s="3" t="s">
        <v>72</v>
      </c>
      <c r="C50" s="3">
        <v>2.0</v>
      </c>
      <c r="D50" s="8">
        <v>205000.0</v>
      </c>
      <c r="G50" s="8">
        <v>410000.0</v>
      </c>
    </row>
    <row r="51" ht="15.75" customHeight="1">
      <c r="B51" s="3" t="s">
        <v>73</v>
      </c>
      <c r="C51" s="3">
        <v>1.0</v>
      </c>
      <c r="D51" s="8">
        <v>350000.0</v>
      </c>
      <c r="G51" s="8">
        <v>350000.0</v>
      </c>
    </row>
    <row r="52" ht="15.75" customHeight="1">
      <c r="B52" s="3" t="s">
        <v>74</v>
      </c>
      <c r="C52" s="3">
        <v>1.0</v>
      </c>
      <c r="D52" s="8">
        <v>350000.0</v>
      </c>
      <c r="G52" s="8">
        <v>350000.0</v>
      </c>
    </row>
    <row r="53" ht="15.75" customHeight="1">
      <c r="B53" s="3" t="s">
        <v>75</v>
      </c>
      <c r="G53" s="4">
        <v>890000.0</v>
      </c>
      <c r="H53" s="3" t="s">
        <v>76</v>
      </c>
    </row>
    <row r="54" ht="15.75" customHeight="1">
      <c r="B54" s="3" t="s">
        <v>77</v>
      </c>
      <c r="D54" s="4">
        <v>77000.0</v>
      </c>
      <c r="G54" s="4">
        <v>1848000.0</v>
      </c>
      <c r="H54" s="3" t="s">
        <v>76</v>
      </c>
    </row>
    <row r="55" ht="15.75" customHeight="1">
      <c r="B55" s="5" t="s">
        <v>78</v>
      </c>
      <c r="C55" s="4">
        <v>3.0</v>
      </c>
      <c r="G55" s="4">
        <v>240000.0</v>
      </c>
      <c r="H55" s="3" t="s">
        <v>79</v>
      </c>
    </row>
    <row r="56" ht="15.75" customHeight="1">
      <c r="B56" s="5" t="s">
        <v>80</v>
      </c>
      <c r="C56" s="4">
        <v>3.0</v>
      </c>
      <c r="G56" s="4">
        <v>255000.0</v>
      </c>
    </row>
    <row r="57" ht="15.75" customHeight="1">
      <c r="A57" s="13">
        <v>45973.0</v>
      </c>
      <c r="B57" s="4" t="s">
        <v>81</v>
      </c>
      <c r="C57" s="4">
        <v>2.0</v>
      </c>
      <c r="D57" s="4">
        <v>220.0</v>
      </c>
      <c r="G57" s="14">
        <v>440000.0</v>
      </c>
      <c r="H57" s="4" t="s">
        <v>82</v>
      </c>
    </row>
    <row r="58" ht="15.75" customHeight="1">
      <c r="A58" s="13">
        <v>45973.0</v>
      </c>
      <c r="B58" s="4" t="s">
        <v>83</v>
      </c>
      <c r="C58" s="4" t="s">
        <v>84</v>
      </c>
      <c r="D58" s="4">
        <v>81000.0</v>
      </c>
      <c r="G58" s="14">
        <v>1296000.0</v>
      </c>
      <c r="H58" s="4" t="s">
        <v>82</v>
      </c>
    </row>
    <row r="59" ht="15.75" customHeight="1">
      <c r="A59" s="13">
        <v>45973.0</v>
      </c>
      <c r="B59" s="4" t="s">
        <v>85</v>
      </c>
      <c r="C59" s="4">
        <v>2.0</v>
      </c>
      <c r="D59" s="14">
        <v>205000.0</v>
      </c>
      <c r="G59" s="14">
        <v>410000.0</v>
      </c>
      <c r="H59" s="4" t="s">
        <v>82</v>
      </c>
    </row>
    <row r="60" ht="15.75" customHeight="1">
      <c r="A60" s="13">
        <v>45973.0</v>
      </c>
      <c r="B60" s="4" t="s">
        <v>86</v>
      </c>
      <c r="C60" s="4">
        <v>2.0</v>
      </c>
      <c r="D60" s="14">
        <v>110000.0</v>
      </c>
      <c r="G60" s="14">
        <v>220000.0</v>
      </c>
      <c r="H60" s="4" t="s">
        <v>82</v>
      </c>
    </row>
    <row r="61" ht="15.75" customHeight="1">
      <c r="A61" s="13">
        <v>45944.0</v>
      </c>
      <c r="B61" s="4" t="s">
        <v>87</v>
      </c>
      <c r="C61" s="4">
        <v>1.0</v>
      </c>
      <c r="D61" s="14">
        <v>4000000.0</v>
      </c>
      <c r="G61" s="14">
        <v>4000000.0</v>
      </c>
      <c r="H61" s="15" t="s">
        <v>88</v>
      </c>
    </row>
    <row r="62" ht="15.75" customHeight="1">
      <c r="A62" s="13">
        <v>45980.0</v>
      </c>
      <c r="B62" s="4" t="s">
        <v>89</v>
      </c>
      <c r="C62" s="4">
        <v>3.0</v>
      </c>
      <c r="D62" s="4">
        <v>40000.0</v>
      </c>
      <c r="G62" s="4">
        <v>120000.0</v>
      </c>
    </row>
    <row r="63" ht="15.75" customHeight="1">
      <c r="B63" s="4" t="s">
        <v>90</v>
      </c>
      <c r="D63" s="4" t="s">
        <v>91</v>
      </c>
      <c r="G63" s="4">
        <v>100000.0</v>
      </c>
    </row>
    <row r="64" ht="15.75" customHeight="1">
      <c r="A64" s="16">
        <v>45994.0</v>
      </c>
      <c r="B64" s="4" t="s">
        <v>92</v>
      </c>
      <c r="G64" s="4">
        <v>1000000.0</v>
      </c>
      <c r="H64" s="4" t="s">
        <v>93</v>
      </c>
    </row>
    <row r="65" ht="15.75" customHeight="1">
      <c r="A65" s="13">
        <v>45995.0</v>
      </c>
      <c r="B65" s="4" t="s">
        <v>94</v>
      </c>
      <c r="D65" s="4">
        <v>1540000.0</v>
      </c>
      <c r="G65" s="4">
        <v>1540000.0</v>
      </c>
      <c r="H65" s="4" t="s">
        <v>95</v>
      </c>
    </row>
    <row r="66" ht="15.75" customHeight="1">
      <c r="A66" s="16">
        <v>45995.0</v>
      </c>
      <c r="B66" s="4" t="s">
        <v>96</v>
      </c>
      <c r="C66" s="4" t="s">
        <v>97</v>
      </c>
      <c r="D66" s="4"/>
      <c r="G66" s="4">
        <v>1320000.0</v>
      </c>
    </row>
    <row r="67" ht="15.75" customHeight="1">
      <c r="A67" s="13">
        <v>46014.0</v>
      </c>
      <c r="B67" s="4" t="s">
        <v>98</v>
      </c>
      <c r="C67" s="4" t="s">
        <v>99</v>
      </c>
      <c r="D67" s="4">
        <v>35000.0</v>
      </c>
      <c r="G67" s="4">
        <v>560000.0</v>
      </c>
      <c r="H67" s="4" t="s">
        <v>100</v>
      </c>
    </row>
    <row r="68" ht="15.75" customHeight="1">
      <c r="B68" s="4" t="s">
        <v>101</v>
      </c>
      <c r="D68" s="4">
        <v>120000.0</v>
      </c>
      <c r="G68" s="4">
        <v>480000.0</v>
      </c>
    </row>
    <row r="69" ht="15.75" customHeight="1">
      <c r="A69" s="13">
        <v>46018.0</v>
      </c>
      <c r="B69" s="4" t="s">
        <v>102</v>
      </c>
      <c r="C69" s="4">
        <v>1.0</v>
      </c>
      <c r="G69" s="4">
        <v>160000.0</v>
      </c>
      <c r="H69" s="4" t="s">
        <v>103</v>
      </c>
    </row>
    <row r="70" ht="15.75" customHeight="1">
      <c r="B70" s="4" t="s">
        <v>104</v>
      </c>
      <c r="C70" s="4">
        <v>1.0</v>
      </c>
      <c r="G70" s="4">
        <v>250000.0</v>
      </c>
    </row>
    <row r="71" ht="15.75" customHeight="1">
      <c r="B71" s="4" t="s">
        <v>105</v>
      </c>
      <c r="C71" s="4" t="s">
        <v>97</v>
      </c>
      <c r="D71" s="4">
        <v>35000.0</v>
      </c>
      <c r="G71" s="4">
        <v>2100000.0</v>
      </c>
    </row>
    <row r="72" ht="15.75" customHeight="1">
      <c r="B72" s="4" t="s">
        <v>106</v>
      </c>
      <c r="C72" s="4">
        <v>1.0</v>
      </c>
      <c r="G72" s="4">
        <v>220000.0</v>
      </c>
    </row>
    <row r="73" ht="15.75" customHeight="1">
      <c r="A73" s="13">
        <v>46024.0</v>
      </c>
      <c r="B73" s="4" t="s">
        <v>107</v>
      </c>
      <c r="C73" s="4">
        <v>8.0</v>
      </c>
      <c r="D73" s="4">
        <v>28000.0</v>
      </c>
      <c r="G73" s="4">
        <v>224000.0</v>
      </c>
    </row>
    <row r="74" ht="15.75" customHeight="1">
      <c r="B74" s="4" t="s">
        <v>108</v>
      </c>
      <c r="C74" s="4">
        <v>1.0</v>
      </c>
      <c r="G74" s="4">
        <v>750000.0</v>
      </c>
    </row>
    <row r="75" ht="15.75" customHeight="1"/>
    <row r="76" ht="15.75" customHeight="1">
      <c r="A76" s="13">
        <v>46046.0</v>
      </c>
      <c r="B76" s="4" t="s">
        <v>109</v>
      </c>
      <c r="C76" s="4">
        <v>20.0</v>
      </c>
      <c r="D76" s="4">
        <v>810000.0</v>
      </c>
      <c r="G76" s="4">
        <v>1620000.0</v>
      </c>
    </row>
    <row r="77" ht="15.75" customHeight="1">
      <c r="B77" s="4" t="s">
        <v>110</v>
      </c>
      <c r="C77" s="4">
        <v>4.0</v>
      </c>
      <c r="D77" s="4">
        <v>110000.0</v>
      </c>
      <c r="G77" s="4">
        <v>440000.0</v>
      </c>
    </row>
    <row r="78" ht="15.75" customHeight="1">
      <c r="B78" s="4" t="s">
        <v>111</v>
      </c>
      <c r="C78" s="4">
        <v>2.0</v>
      </c>
      <c r="D78" s="4">
        <v>110000.0</v>
      </c>
      <c r="G78" s="4">
        <v>220000.0</v>
      </c>
    </row>
    <row r="79" ht="15.75" customHeight="1">
      <c r="B79" s="4" t="s">
        <v>112</v>
      </c>
      <c r="C79" s="4" t="s">
        <v>113</v>
      </c>
      <c r="G79" s="4">
        <v>190000.0</v>
      </c>
    </row>
    <row r="80" ht="15.75" customHeight="1">
      <c r="A80" s="16">
        <v>47146.0</v>
      </c>
      <c r="B80" s="4" t="s">
        <v>114</v>
      </c>
      <c r="C80" s="4">
        <v>4.0</v>
      </c>
      <c r="D80" s="4">
        <v>25000.0</v>
      </c>
      <c r="G80" s="4">
        <v>100000.0</v>
      </c>
    </row>
    <row r="81" ht="15.75" customHeight="1">
      <c r="A81" s="17">
        <v>46083.0</v>
      </c>
      <c r="C81" s="4">
        <v>1.0</v>
      </c>
    </row>
    <row r="82" ht="15.75" customHeight="1">
      <c r="A82" s="13">
        <v>46083.0</v>
      </c>
      <c r="B82" s="4" t="s">
        <v>115</v>
      </c>
    </row>
    <row r="83" ht="15.75" customHeight="1">
      <c r="A83" s="13">
        <v>46149.0</v>
      </c>
      <c r="B83" s="4" t="s">
        <v>116</v>
      </c>
      <c r="C83" s="4">
        <v>93.0</v>
      </c>
      <c r="D83" s="4">
        <v>51000.0</v>
      </c>
      <c r="G83" s="4">
        <v>4743000.0</v>
      </c>
    </row>
    <row r="84" ht="15.75" customHeight="1">
      <c r="A84" s="13">
        <v>46149.0</v>
      </c>
      <c r="B84" s="4" t="s">
        <v>117</v>
      </c>
      <c r="D84" s="4" t="s">
        <v>118</v>
      </c>
    </row>
    <row r="85" ht="15.75" customHeight="1">
      <c r="D85" s="4" t="s">
        <v>119</v>
      </c>
      <c r="G85" s="18">
        <f>sum(G45:G83)</f>
        <v>29276000</v>
      </c>
    </row>
    <row r="86" ht="15.75" customHeight="1">
      <c r="D86" s="4" t="s">
        <v>120</v>
      </c>
      <c r="G86" s="18">
        <f>sum(G44,G85)</f>
        <v>66445500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3.71"/>
  </cols>
  <sheetData>
    <row r="1">
      <c r="A1" s="4" t="s">
        <v>121</v>
      </c>
      <c r="C1" s="4" t="s">
        <v>122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0.0"/>
    <col customWidth="1" min="3" max="3" width="12.14"/>
    <col customWidth="1" min="4" max="4" width="13.29"/>
    <col customWidth="1" min="5" max="5" width="20.57"/>
    <col customWidth="1" min="6" max="6" width="8.0"/>
  </cols>
  <sheetData>
    <row r="1">
      <c r="A1" s="19" t="s">
        <v>123</v>
      </c>
      <c r="B1" s="20"/>
      <c r="C1" s="20"/>
      <c r="D1" s="20"/>
      <c r="E1" s="21"/>
    </row>
    <row r="2">
      <c r="A2" s="22"/>
      <c r="B2" s="23"/>
      <c r="C2" s="22"/>
      <c r="D2" s="22"/>
      <c r="E2" s="23"/>
    </row>
    <row r="3" ht="22.5" customHeight="1">
      <c r="A3" s="24" t="s">
        <v>124</v>
      </c>
      <c r="B3" s="25" t="s">
        <v>125</v>
      </c>
      <c r="C3" s="24" t="s">
        <v>126</v>
      </c>
      <c r="D3" s="24" t="s">
        <v>127</v>
      </c>
      <c r="E3" s="25" t="s">
        <v>128</v>
      </c>
    </row>
    <row r="4" ht="22.5" customHeight="1">
      <c r="A4" s="26">
        <v>1.0</v>
      </c>
      <c r="B4" s="26" t="s">
        <v>69</v>
      </c>
      <c r="C4" s="26"/>
      <c r="D4" s="27">
        <v>50.0</v>
      </c>
      <c r="E4" s="28">
        <v>1150000.0</v>
      </c>
    </row>
    <row r="5" ht="22.5" customHeight="1">
      <c r="A5" s="26">
        <v>2.0</v>
      </c>
      <c r="B5" s="26" t="s">
        <v>129</v>
      </c>
      <c r="C5" s="26"/>
      <c r="D5" s="27">
        <v>1.0</v>
      </c>
      <c r="E5" s="28">
        <v>350000.0</v>
      </c>
    </row>
    <row r="6" ht="22.5" customHeight="1">
      <c r="A6" s="26">
        <v>3.0</v>
      </c>
      <c r="B6" s="26" t="s">
        <v>130</v>
      </c>
      <c r="C6" s="26"/>
      <c r="D6" s="27" t="s">
        <v>131</v>
      </c>
      <c r="E6" s="28"/>
    </row>
    <row r="7" ht="22.5" customHeight="1">
      <c r="A7" s="26">
        <v>4.0</v>
      </c>
      <c r="B7" s="26" t="s">
        <v>132</v>
      </c>
      <c r="C7" s="26"/>
      <c r="D7" s="27" t="s">
        <v>133</v>
      </c>
      <c r="E7" s="28"/>
    </row>
    <row r="8" ht="15.0" customHeight="1">
      <c r="D8" s="29"/>
    </row>
    <row r="9" ht="15.0" customHeight="1">
      <c r="D9" s="29"/>
    </row>
    <row r="10" ht="15.0" customHeight="1">
      <c r="D10" s="29"/>
    </row>
    <row r="11" ht="15.0" customHeight="1">
      <c r="D11" s="29"/>
    </row>
    <row r="12" ht="15.0" customHeight="1">
      <c r="D12" s="29"/>
    </row>
    <row r="13" ht="15.0" customHeight="1">
      <c r="D13" s="29"/>
    </row>
    <row r="14" ht="15.0" customHeight="1">
      <c r="D14" s="29"/>
    </row>
    <row r="15" ht="15.0" customHeight="1">
      <c r="D15" s="29"/>
    </row>
    <row r="16" ht="15.0" customHeight="1">
      <c r="D16" s="29"/>
    </row>
    <row r="17">
      <c r="D17" s="2"/>
    </row>
    <row r="18">
      <c r="D18" s="2"/>
    </row>
    <row r="19">
      <c r="D19" s="2"/>
    </row>
    <row r="20">
      <c r="D20" s="2"/>
    </row>
    <row r="2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  <row r="1001" ht="15.75" customHeight="1">
      <c r="D1001" s="2"/>
    </row>
  </sheetData>
  <mergeCells count="1">
    <mergeCell ref="A1:E1"/>
  </mergeCells>
  <dataValidations>
    <dataValidation type="custom" allowBlank="1" showDropDown="1" sqref="E4:E7">
      <formula1>AND(ISNUMBER(E4),(NOT(OR(NOT(ISERROR(DATEVALUE(E4))), AND(ISNUMBER(E4), LEFT(CELL("format", E4))="D")))))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23.0"/>
    <col customWidth="1" min="3" max="3" width="19.57"/>
    <col customWidth="1" min="4" max="4" width="16.86"/>
    <col customWidth="1" min="5" max="5" width="14.43"/>
    <col customWidth="1" min="6" max="6" width="11.43"/>
    <col customWidth="1" min="7" max="7" width="10.71"/>
    <col customWidth="1" min="8" max="8" width="16.86"/>
    <col customWidth="1" min="9" max="9" width="24.57"/>
    <col customWidth="1" min="10" max="10" width="11.71"/>
    <col customWidth="1" min="11" max="11" width="18.0"/>
  </cols>
  <sheetData>
    <row r="1">
      <c r="A1" s="30" t="s">
        <v>134</v>
      </c>
      <c r="B1" s="20"/>
      <c r="C1" s="20"/>
      <c r="D1" s="20"/>
      <c r="E1" s="20"/>
      <c r="F1" s="21"/>
      <c r="G1" s="4" t="s">
        <v>135</v>
      </c>
      <c r="H1" s="4" t="s">
        <v>136</v>
      </c>
    </row>
    <row r="2">
      <c r="A2" s="31"/>
      <c r="B2" s="31"/>
      <c r="C2" s="31"/>
      <c r="D2" s="31"/>
      <c r="E2" s="31"/>
      <c r="F2" s="31"/>
      <c r="G2" s="3"/>
      <c r="I2" s="4" t="s">
        <v>137</v>
      </c>
      <c r="J2" s="32"/>
      <c r="K2" s="33"/>
    </row>
    <row r="3" ht="22.5" customHeight="1">
      <c r="A3" s="34" t="s">
        <v>138</v>
      </c>
      <c r="B3" s="34" t="s">
        <v>139</v>
      </c>
      <c r="C3" s="34" t="s">
        <v>140</v>
      </c>
      <c r="D3" s="34" t="s">
        <v>141</v>
      </c>
      <c r="E3" s="34" t="s">
        <v>142</v>
      </c>
      <c r="F3" s="34" t="s">
        <v>143</v>
      </c>
      <c r="G3" s="3" t="s">
        <v>144</v>
      </c>
      <c r="J3" s="32" t="s">
        <v>145</v>
      </c>
      <c r="K3" s="35">
        <f>SUM(D4:D20001)</f>
        <v>36825000</v>
      </c>
    </row>
    <row r="4" ht="22.5" customHeight="1">
      <c r="A4" s="26" t="s">
        <v>146</v>
      </c>
      <c r="B4" s="26" t="s">
        <v>147</v>
      </c>
      <c r="C4" s="36">
        <v>9.35694536E8</v>
      </c>
      <c r="D4" s="37">
        <v>1200000.0</v>
      </c>
      <c r="E4" s="37">
        <v>1200000.0</v>
      </c>
      <c r="F4" s="38">
        <f t="shared" ref="F4:F25" si="1">D4-E4</f>
        <v>0</v>
      </c>
      <c r="J4" s="32" t="s">
        <v>148</v>
      </c>
      <c r="K4" s="39">
        <f>SUM(E4:E20001)</f>
        <v>29790000</v>
      </c>
    </row>
    <row r="5" ht="22.5" customHeight="1">
      <c r="A5" s="26" t="s">
        <v>149</v>
      </c>
      <c r="B5" s="26" t="s">
        <v>150</v>
      </c>
      <c r="C5" s="36">
        <v>9.83926939E8</v>
      </c>
      <c r="D5" s="37">
        <v>950000.0</v>
      </c>
      <c r="E5" s="40">
        <v>950000.0</v>
      </c>
      <c r="F5" s="38">
        <f t="shared" si="1"/>
        <v>0</v>
      </c>
      <c r="G5" s="3" t="s">
        <v>151</v>
      </c>
      <c r="J5" s="32" t="s">
        <v>152</v>
      </c>
      <c r="K5" s="41">
        <f>SUM(F4:F20001)</f>
        <v>7035000</v>
      </c>
    </row>
    <row r="6" ht="22.5" customHeight="1">
      <c r="A6" s="26" t="s">
        <v>153</v>
      </c>
      <c r="B6" s="26" t="s">
        <v>154</v>
      </c>
      <c r="C6" s="36">
        <v>3.7773214E8</v>
      </c>
      <c r="D6" s="37">
        <v>1200000.0</v>
      </c>
      <c r="E6" s="37">
        <v>1200000.0</v>
      </c>
      <c r="F6" s="38">
        <f t="shared" si="1"/>
        <v>0</v>
      </c>
    </row>
    <row r="7" ht="22.5" customHeight="1">
      <c r="A7" s="26" t="s">
        <v>155</v>
      </c>
      <c r="B7" s="26" t="s">
        <v>156</v>
      </c>
      <c r="C7" s="36">
        <v>3.64909695E8</v>
      </c>
      <c r="D7" s="37">
        <v>550000.0</v>
      </c>
      <c r="E7" s="40">
        <v>550000.0</v>
      </c>
      <c r="F7" s="38">
        <f t="shared" si="1"/>
        <v>0</v>
      </c>
    </row>
    <row r="8" ht="22.5" customHeight="1">
      <c r="A8" s="26" t="s">
        <v>157</v>
      </c>
      <c r="B8" s="26" t="s">
        <v>158</v>
      </c>
      <c r="C8" s="36">
        <v>9.87475125E8</v>
      </c>
      <c r="D8" s="37">
        <v>600000.0</v>
      </c>
      <c r="E8" s="40">
        <v>600000.0</v>
      </c>
      <c r="F8" s="38">
        <f t="shared" si="1"/>
        <v>0</v>
      </c>
    </row>
    <row r="9" ht="22.5" customHeight="1">
      <c r="A9" s="26" t="s">
        <v>159</v>
      </c>
      <c r="B9" s="26" t="s">
        <v>160</v>
      </c>
      <c r="C9" s="36">
        <v>9.7294741E8</v>
      </c>
      <c r="D9" s="37"/>
      <c r="E9" s="37"/>
      <c r="F9" s="38">
        <f t="shared" si="1"/>
        <v>0</v>
      </c>
    </row>
    <row r="10" ht="15.0" customHeight="1">
      <c r="A10" s="42" t="s">
        <v>161</v>
      </c>
      <c r="B10" s="42" t="s">
        <v>162</v>
      </c>
      <c r="C10" s="36"/>
      <c r="D10" s="40">
        <v>2300000.0</v>
      </c>
      <c r="E10" s="40">
        <v>1700000.0</v>
      </c>
      <c r="F10" s="38">
        <f t="shared" si="1"/>
        <v>600000</v>
      </c>
    </row>
    <row r="11" ht="22.5" customHeight="1">
      <c r="A11" s="42" t="s">
        <v>163</v>
      </c>
      <c r="B11" s="42" t="s">
        <v>164</v>
      </c>
      <c r="C11" s="43"/>
      <c r="D11" s="40">
        <v>700000.0</v>
      </c>
      <c r="E11" s="40">
        <v>700000.0</v>
      </c>
      <c r="F11" s="38">
        <f t="shared" si="1"/>
        <v>0</v>
      </c>
    </row>
    <row r="12" ht="22.5" customHeight="1">
      <c r="A12" s="42" t="s">
        <v>165</v>
      </c>
      <c r="B12" s="42" t="s">
        <v>166</v>
      </c>
      <c r="C12" s="43"/>
      <c r="D12" s="40">
        <v>1000000.0</v>
      </c>
      <c r="E12" s="40">
        <v>1000000.0</v>
      </c>
      <c r="F12" s="38">
        <f t="shared" si="1"/>
        <v>0</v>
      </c>
    </row>
    <row r="13" ht="22.5" customHeight="1">
      <c r="A13" s="42" t="s">
        <v>167</v>
      </c>
      <c r="B13" s="42" t="s">
        <v>168</v>
      </c>
      <c r="C13" s="43"/>
      <c r="D13" s="40">
        <v>250000.0</v>
      </c>
      <c r="E13" s="40">
        <v>250000.0</v>
      </c>
      <c r="F13" s="38">
        <f t="shared" si="1"/>
        <v>0</v>
      </c>
    </row>
    <row r="14" ht="22.5" customHeight="1">
      <c r="A14" s="42" t="s">
        <v>169</v>
      </c>
      <c r="B14" s="42" t="s">
        <v>170</v>
      </c>
      <c r="C14" s="43"/>
      <c r="D14" s="40">
        <v>650000.0</v>
      </c>
      <c r="E14" s="40">
        <v>650000.0</v>
      </c>
      <c r="F14" s="38">
        <f t="shared" si="1"/>
        <v>0</v>
      </c>
    </row>
    <row r="15" ht="22.5" customHeight="1">
      <c r="A15" s="42" t="s">
        <v>161</v>
      </c>
      <c r="B15" s="42" t="s">
        <v>171</v>
      </c>
      <c r="C15" s="43"/>
      <c r="D15" s="40">
        <v>3830000.0</v>
      </c>
      <c r="E15" s="40">
        <v>1600000.0</v>
      </c>
      <c r="F15" s="38">
        <f t="shared" si="1"/>
        <v>2230000</v>
      </c>
    </row>
    <row r="16" ht="22.5" customHeight="1">
      <c r="A16" s="42" t="s">
        <v>172</v>
      </c>
      <c r="B16" s="42" t="s">
        <v>173</v>
      </c>
      <c r="C16" s="43"/>
      <c r="D16" s="40">
        <v>2250000.0</v>
      </c>
      <c r="E16" s="40">
        <v>2250000.0</v>
      </c>
      <c r="F16" s="38">
        <f t="shared" si="1"/>
        <v>0</v>
      </c>
      <c r="G16" s="4">
        <v>3.75064152E8</v>
      </c>
      <c r="H16" s="13">
        <v>46034.0</v>
      </c>
    </row>
    <row r="17" ht="22.5" customHeight="1">
      <c r="A17" s="42" t="s">
        <v>174</v>
      </c>
      <c r="B17" s="42" t="s">
        <v>175</v>
      </c>
      <c r="C17" s="43"/>
      <c r="D17" s="40">
        <v>150000.0</v>
      </c>
      <c r="E17" s="40">
        <v>150000.0</v>
      </c>
      <c r="F17" s="38">
        <f t="shared" si="1"/>
        <v>0</v>
      </c>
      <c r="H17" s="13">
        <v>46039.0</v>
      </c>
    </row>
    <row r="18" ht="22.5" customHeight="1">
      <c r="A18" s="42" t="s">
        <v>176</v>
      </c>
      <c r="B18" s="42" t="s">
        <v>177</v>
      </c>
      <c r="C18" s="43"/>
      <c r="D18" s="40">
        <v>1500000.0</v>
      </c>
      <c r="E18" s="40">
        <v>1500000.0</v>
      </c>
      <c r="F18" s="38">
        <f t="shared" si="1"/>
        <v>0</v>
      </c>
      <c r="H18" s="16">
        <v>46045.0</v>
      </c>
    </row>
    <row r="19" ht="22.5" customHeight="1">
      <c r="A19" s="42" t="s">
        <v>176</v>
      </c>
      <c r="B19" s="42" t="s">
        <v>178</v>
      </c>
      <c r="C19" s="43"/>
      <c r="D19" s="40">
        <v>1300000.0</v>
      </c>
      <c r="E19" s="40">
        <v>1300000.0</v>
      </c>
      <c r="F19" s="38">
        <f t="shared" si="1"/>
        <v>0</v>
      </c>
      <c r="H19" s="4" t="s">
        <v>179</v>
      </c>
    </row>
    <row r="20" ht="22.5" customHeight="1">
      <c r="A20" s="42" t="s">
        <v>180</v>
      </c>
      <c r="B20" s="42" t="s">
        <v>181</v>
      </c>
      <c r="C20" s="43"/>
      <c r="D20" s="40">
        <v>1350000.0</v>
      </c>
      <c r="E20" s="40">
        <v>1350000.0</v>
      </c>
      <c r="F20" s="38">
        <f t="shared" si="1"/>
        <v>0</v>
      </c>
      <c r="H20" s="4" t="s">
        <v>182</v>
      </c>
    </row>
    <row r="21" ht="22.5" customHeight="1">
      <c r="A21" s="42" t="s">
        <v>183</v>
      </c>
      <c r="B21" s="42" t="s">
        <v>184</v>
      </c>
      <c r="C21" s="43"/>
      <c r="D21" s="40">
        <v>600000.0</v>
      </c>
      <c r="E21" s="40"/>
      <c r="F21" s="38">
        <f t="shared" si="1"/>
        <v>600000</v>
      </c>
      <c r="H21" s="44">
        <v>46048.0</v>
      </c>
    </row>
    <row r="22" ht="15.75" customHeight="1">
      <c r="A22" s="42" t="s">
        <v>176</v>
      </c>
      <c r="B22" s="42" t="s">
        <v>185</v>
      </c>
      <c r="C22" s="43"/>
      <c r="D22" s="40">
        <v>1200000.0</v>
      </c>
      <c r="E22" s="40">
        <v>1200000.0</v>
      </c>
      <c r="F22" s="38">
        <f t="shared" si="1"/>
        <v>0</v>
      </c>
      <c r="H22" s="13">
        <v>46084.0</v>
      </c>
    </row>
    <row r="23" ht="15.75" customHeight="1">
      <c r="A23" s="42" t="s">
        <v>186</v>
      </c>
      <c r="B23" s="42" t="s">
        <v>187</v>
      </c>
      <c r="C23" s="43"/>
      <c r="D23" s="40">
        <v>1500000.0</v>
      </c>
      <c r="E23" s="40">
        <v>1500000.0</v>
      </c>
      <c r="F23" s="38">
        <f t="shared" si="1"/>
        <v>0</v>
      </c>
      <c r="H23" s="13">
        <v>46088.0</v>
      </c>
    </row>
    <row r="24" ht="15.75" customHeight="1">
      <c r="A24" s="45" t="s">
        <v>183</v>
      </c>
      <c r="B24" s="42" t="s">
        <v>188</v>
      </c>
      <c r="C24" s="43"/>
      <c r="D24" s="40">
        <v>80000.0</v>
      </c>
      <c r="E24" s="40"/>
      <c r="F24" s="38">
        <f t="shared" si="1"/>
        <v>80000</v>
      </c>
      <c r="H24" s="13">
        <v>46101.0</v>
      </c>
    </row>
    <row r="25" ht="15.75" customHeight="1">
      <c r="A25" s="42" t="s">
        <v>183</v>
      </c>
      <c r="B25" s="42" t="s">
        <v>189</v>
      </c>
      <c r="C25" s="43"/>
      <c r="D25" s="40">
        <v>1650000.0</v>
      </c>
      <c r="E25" s="40"/>
      <c r="F25" s="38">
        <f t="shared" si="1"/>
        <v>1650000</v>
      </c>
      <c r="H25" s="13">
        <v>46104.0</v>
      </c>
    </row>
    <row r="26" ht="15.75" customHeight="1">
      <c r="A26" s="42" t="s">
        <v>190</v>
      </c>
      <c r="B26" s="42" t="s">
        <v>191</v>
      </c>
      <c r="C26" s="43"/>
      <c r="D26" s="40">
        <v>550000.0</v>
      </c>
      <c r="E26" s="40">
        <v>550000.0</v>
      </c>
      <c r="F26" s="36"/>
      <c r="H26" s="13">
        <v>46114.0</v>
      </c>
    </row>
    <row r="27" ht="15.75" customHeight="1">
      <c r="A27" s="42" t="s">
        <v>192</v>
      </c>
      <c r="B27" s="42" t="s">
        <v>193</v>
      </c>
      <c r="C27" s="43"/>
      <c r="D27" s="40">
        <v>700000.0</v>
      </c>
      <c r="E27" s="40">
        <v>700000.0</v>
      </c>
      <c r="F27" s="38">
        <f t="shared" ref="F27:F51" si="2">D27-E27</f>
        <v>0</v>
      </c>
      <c r="H27" s="13">
        <v>46116.0</v>
      </c>
      <c r="I27" s="4" t="s">
        <v>194</v>
      </c>
    </row>
    <row r="28" ht="15.75" customHeight="1">
      <c r="A28" s="42" t="s">
        <v>195</v>
      </c>
      <c r="B28" s="42" t="s">
        <v>196</v>
      </c>
      <c r="C28" s="43"/>
      <c r="D28" s="40">
        <v>1300000.0</v>
      </c>
      <c r="E28" s="40">
        <v>1300000.0</v>
      </c>
      <c r="F28" s="38">
        <f t="shared" si="2"/>
        <v>0</v>
      </c>
      <c r="H28" s="16">
        <v>46119.0</v>
      </c>
    </row>
    <row r="29" ht="15.75" customHeight="1">
      <c r="A29" s="42" t="s">
        <v>197</v>
      </c>
      <c r="B29" s="42" t="s">
        <v>198</v>
      </c>
      <c r="C29" s="43"/>
      <c r="D29" s="40">
        <v>600000.0</v>
      </c>
      <c r="E29" s="40">
        <v>600000.0</v>
      </c>
      <c r="F29" s="38">
        <f t="shared" si="2"/>
        <v>0</v>
      </c>
      <c r="H29" s="13">
        <v>46122.0</v>
      </c>
    </row>
    <row r="30" ht="15.75" customHeight="1">
      <c r="A30" s="42" t="s">
        <v>199</v>
      </c>
      <c r="B30" s="42" t="s">
        <v>200</v>
      </c>
      <c r="C30" s="43"/>
      <c r="D30" s="40">
        <v>1250000.0</v>
      </c>
      <c r="E30" s="40">
        <v>1250000.0</v>
      </c>
      <c r="F30" s="38">
        <f t="shared" si="2"/>
        <v>0</v>
      </c>
      <c r="H30" s="13">
        <v>46121.0</v>
      </c>
      <c r="I30" s="4" t="s">
        <v>201</v>
      </c>
    </row>
    <row r="31" ht="15.75" customHeight="1">
      <c r="A31" s="42" t="s">
        <v>183</v>
      </c>
      <c r="B31" s="42" t="s">
        <v>202</v>
      </c>
      <c r="C31" s="43"/>
      <c r="D31" s="40">
        <v>70000.0</v>
      </c>
      <c r="E31" s="40"/>
      <c r="F31" s="38">
        <f t="shared" si="2"/>
        <v>70000</v>
      </c>
      <c r="H31" s="13">
        <v>46130.0</v>
      </c>
    </row>
    <row r="32" ht="15.75" customHeight="1">
      <c r="A32" s="42" t="s">
        <v>203</v>
      </c>
      <c r="B32" s="42" t="s">
        <v>204</v>
      </c>
      <c r="C32" s="43"/>
      <c r="D32" s="40">
        <v>470000.0</v>
      </c>
      <c r="E32" s="40">
        <v>470000.0</v>
      </c>
      <c r="F32" s="38">
        <f t="shared" si="2"/>
        <v>0</v>
      </c>
      <c r="H32" s="13">
        <v>46130.0</v>
      </c>
    </row>
    <row r="33" ht="15.75" customHeight="1">
      <c r="A33" s="42" t="s">
        <v>205</v>
      </c>
      <c r="B33" s="42" t="s">
        <v>204</v>
      </c>
      <c r="C33" s="43"/>
      <c r="D33" s="40">
        <v>600000.0</v>
      </c>
      <c r="E33" s="40">
        <v>600000.0</v>
      </c>
      <c r="F33" s="38">
        <f t="shared" si="2"/>
        <v>0</v>
      </c>
      <c r="H33" s="13">
        <v>46132.0</v>
      </c>
    </row>
    <row r="34" ht="15.75" customHeight="1">
      <c r="A34" s="42" t="s">
        <v>206</v>
      </c>
      <c r="B34" s="42" t="s">
        <v>204</v>
      </c>
      <c r="C34" s="43"/>
      <c r="D34" s="40">
        <v>480000.0</v>
      </c>
      <c r="E34" s="40">
        <v>480000.0</v>
      </c>
      <c r="F34" s="38">
        <f t="shared" si="2"/>
        <v>0</v>
      </c>
      <c r="H34" s="13">
        <v>46134.0</v>
      </c>
    </row>
    <row r="35" ht="15.75" customHeight="1">
      <c r="A35" s="42" t="s">
        <v>207</v>
      </c>
      <c r="B35" s="42" t="s">
        <v>208</v>
      </c>
      <c r="C35" s="43"/>
      <c r="D35" s="40">
        <v>600000.0</v>
      </c>
      <c r="E35" s="40"/>
      <c r="F35" s="38">
        <f t="shared" si="2"/>
        <v>600000</v>
      </c>
      <c r="H35" s="13">
        <v>46136.0</v>
      </c>
    </row>
    <row r="36" ht="15.75" customHeight="1">
      <c r="A36" s="42" t="s">
        <v>209</v>
      </c>
      <c r="B36" s="42" t="s">
        <v>210</v>
      </c>
      <c r="C36" s="43"/>
      <c r="D36" s="40">
        <v>1150000.0</v>
      </c>
      <c r="E36" s="40">
        <v>1150000.0</v>
      </c>
      <c r="F36" s="38">
        <f t="shared" si="2"/>
        <v>0</v>
      </c>
      <c r="H36" s="13">
        <v>46146.0</v>
      </c>
    </row>
    <row r="37" ht="15.75" customHeight="1">
      <c r="A37" s="42" t="s">
        <v>211</v>
      </c>
      <c r="B37" s="42" t="s">
        <v>212</v>
      </c>
      <c r="C37" s="43"/>
      <c r="D37" s="40">
        <v>2060000.0</v>
      </c>
      <c r="E37" s="40">
        <v>2060000.0</v>
      </c>
      <c r="F37" s="38">
        <f t="shared" si="2"/>
        <v>0</v>
      </c>
      <c r="H37" s="13">
        <v>46147.0</v>
      </c>
    </row>
    <row r="38" ht="15.75" customHeight="1">
      <c r="A38" s="42" t="s">
        <v>213</v>
      </c>
      <c r="B38" s="42" t="s">
        <v>214</v>
      </c>
      <c r="C38" s="43"/>
      <c r="D38" s="40"/>
      <c r="E38" s="40"/>
      <c r="F38" s="38">
        <f t="shared" si="2"/>
        <v>0</v>
      </c>
    </row>
    <row r="39" ht="15.75" customHeight="1">
      <c r="A39" s="42" t="s">
        <v>215</v>
      </c>
      <c r="B39" s="42" t="s">
        <v>216</v>
      </c>
      <c r="C39" s="43"/>
      <c r="D39" s="40"/>
      <c r="E39" s="40"/>
      <c r="F39" s="38">
        <f t="shared" si="2"/>
        <v>0</v>
      </c>
    </row>
    <row r="40" ht="15.75" customHeight="1">
      <c r="A40" s="42" t="s">
        <v>217</v>
      </c>
      <c r="B40" s="42" t="s">
        <v>218</v>
      </c>
      <c r="C40" s="43"/>
      <c r="D40" s="40"/>
      <c r="E40" s="40"/>
      <c r="F40" s="38">
        <f t="shared" si="2"/>
        <v>0</v>
      </c>
    </row>
    <row r="41" ht="15.75" customHeight="1">
      <c r="A41" s="42" t="s">
        <v>219</v>
      </c>
      <c r="B41" s="42" t="s">
        <v>220</v>
      </c>
      <c r="C41" s="43"/>
      <c r="D41" s="40">
        <v>480000.0</v>
      </c>
      <c r="E41" s="40">
        <v>480000.0</v>
      </c>
      <c r="F41" s="38">
        <f t="shared" si="2"/>
        <v>0</v>
      </c>
      <c r="H41" s="13">
        <v>46153.0</v>
      </c>
    </row>
    <row r="42" ht="15.75" customHeight="1">
      <c r="A42" s="42" t="s">
        <v>221</v>
      </c>
      <c r="B42" s="42" t="s">
        <v>222</v>
      </c>
      <c r="C42" s="43"/>
      <c r="D42" s="40">
        <v>500000.0</v>
      </c>
      <c r="E42" s="40">
        <v>500000.0</v>
      </c>
      <c r="F42" s="38">
        <f t="shared" si="2"/>
        <v>0</v>
      </c>
      <c r="H42" s="13">
        <v>46157.0</v>
      </c>
    </row>
    <row r="43" ht="15.75" customHeight="1">
      <c r="A43" s="45" t="s">
        <v>223</v>
      </c>
      <c r="B43" s="42" t="s">
        <v>224</v>
      </c>
      <c r="C43" s="43"/>
      <c r="D43" s="40">
        <v>385000.0</v>
      </c>
      <c r="E43" s="40"/>
      <c r="F43" s="38">
        <f t="shared" si="2"/>
        <v>385000</v>
      </c>
      <c r="H43" s="13">
        <v>46158.0</v>
      </c>
    </row>
    <row r="44" ht="15.75" customHeight="1">
      <c r="A44" s="42" t="s">
        <v>225</v>
      </c>
      <c r="B44" s="42" t="s">
        <v>226</v>
      </c>
      <c r="C44" s="43"/>
      <c r="D44" s="40">
        <v>820000.0</v>
      </c>
      <c r="E44" s="40"/>
      <c r="F44" s="38">
        <f t="shared" si="2"/>
        <v>820000</v>
      </c>
      <c r="H44" s="13">
        <v>46161.0</v>
      </c>
    </row>
    <row r="45" ht="15.75" customHeight="1">
      <c r="A45" s="42"/>
      <c r="B45" s="42"/>
      <c r="C45" s="43"/>
      <c r="D45" s="40"/>
      <c r="E45" s="40"/>
      <c r="F45" s="38">
        <f t="shared" si="2"/>
        <v>0</v>
      </c>
    </row>
    <row r="46" ht="15.75" customHeight="1">
      <c r="A46" s="42"/>
      <c r="B46" s="42"/>
      <c r="C46" s="43"/>
      <c r="D46" s="40"/>
      <c r="E46" s="40"/>
      <c r="F46" s="38">
        <f t="shared" si="2"/>
        <v>0</v>
      </c>
    </row>
    <row r="47" ht="15.75" customHeight="1">
      <c r="A47" s="42"/>
      <c r="B47" s="42"/>
      <c r="C47" s="43"/>
      <c r="D47" s="40"/>
      <c r="E47" s="40"/>
      <c r="F47" s="38">
        <f t="shared" si="2"/>
        <v>0</v>
      </c>
    </row>
    <row r="48" ht="15.75" customHeight="1">
      <c r="A48" s="42"/>
      <c r="B48" s="42"/>
      <c r="C48" s="43"/>
      <c r="D48" s="40"/>
      <c r="E48" s="40"/>
      <c r="F48" s="38">
        <f t="shared" si="2"/>
        <v>0</v>
      </c>
    </row>
    <row r="49" ht="15.75" customHeight="1">
      <c r="A49" s="42"/>
      <c r="B49" s="42"/>
      <c r="C49" s="43"/>
      <c r="D49" s="40"/>
      <c r="E49" s="40"/>
      <c r="F49" s="38">
        <f t="shared" si="2"/>
        <v>0</v>
      </c>
    </row>
    <row r="50" ht="15.75" customHeight="1">
      <c r="A50" s="42"/>
      <c r="B50" s="42"/>
      <c r="C50" s="43"/>
      <c r="D50" s="40"/>
      <c r="E50" s="40"/>
      <c r="F50" s="38">
        <f t="shared" si="2"/>
        <v>0</v>
      </c>
    </row>
    <row r="51" ht="15.75" customHeight="1">
      <c r="A51" s="42"/>
      <c r="B51" s="42"/>
      <c r="C51" s="43"/>
      <c r="D51" s="40"/>
      <c r="E51" s="40"/>
      <c r="F51" s="38">
        <f t="shared" si="2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F1"/>
  </mergeCells>
  <dataValidations>
    <dataValidation type="custom" allowBlank="1" showDropDown="1" sqref="D4:E51">
      <formula1>AND(ISNUMBER(D4),(NOT(OR(NOT(ISERROR(DATEVALUE(D4))), AND(ISNUMBER(D4), LEFT(CELL("format", D4))="D")))))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