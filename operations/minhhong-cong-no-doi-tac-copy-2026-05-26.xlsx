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1.xml" ContentType="application/vnd.openxmlformats-officedocument.spreadsheetml.table+xml"/>
  <Override PartName="/xl/worksheets/sheet1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ướng dẫn" sheetId="1" state="visible" r:id="rId1"/>
    <sheet xmlns:r="http://schemas.openxmlformats.org/officeDocument/2006/relationships" name="Tổng quan" sheetId="2" state="visible" r:id="rId2"/>
    <sheet xmlns:r="http://schemas.openxmlformats.org/officeDocument/2006/relationships" name="Công nợ đối tác" sheetId="3" state="visible" r:id="rId3"/>
    <sheet xmlns:r="http://schemas.openxmlformats.org/officeDocument/2006/relationships" name="Đối chiếu Long" sheetId="4" state="visible" r:id="rId4"/>
    <sheet xmlns:r="http://schemas.openxmlformats.org/officeDocument/2006/relationships" name="Nhập hàng" sheetId="5" state="visible" r:id="rId5"/>
    <sheet xmlns:r="http://schemas.openxmlformats.org/officeDocument/2006/relationships" name="Thanh toán" sheetId="6" state="visible" r:id="rId6"/>
    <sheet xmlns:r="http://schemas.openxmlformats.org/officeDocument/2006/relationships" name="Trả hàng" sheetId="7" state="visible" r:id="rId7"/>
    <sheet xmlns:r="http://schemas.openxmlformats.org/officeDocument/2006/relationships" name="Đơn khách" sheetId="8" state="visible" r:id="rId8"/>
    <sheet xmlns:r="http://schemas.openxmlformats.org/officeDocument/2006/relationships" name="Đối tác" sheetId="9" state="visible" r:id="rId9"/>
    <sheet xmlns:r="http://schemas.openxmlformats.org/officeDocument/2006/relationships" name="Cảnh báo dữ liệu" sheetId="10" state="visible" r:id="rId10"/>
    <sheet xmlns:r="http://schemas.openxmlformats.org/officeDocument/2006/relationships" name="Sheet1" sheetId="11" state="visible" r:id="rId11"/>
    <sheet xmlns:r="http://schemas.openxmlformats.org/officeDocument/2006/relationships" name="Tiền chuyển cho long" sheetId="12" state="visible" r:id="rId12"/>
    <sheet xmlns:r="http://schemas.openxmlformats.org/officeDocument/2006/relationships" name="Đơn trả lại" sheetId="13" state="visible" r:id="rId13"/>
    <sheet xmlns:r="http://schemas.openxmlformats.org/officeDocument/2006/relationships" name="Đơn hàng đã bán" sheetId="14" state="visible" r:id="rId14"/>
  </sheets>
  <definedNames>
    <definedName name="_xlnm._FilterDatabase" localSheetId="2" hidden="1">'Công nợ đối tác'!$A$1:$I$1</definedName>
    <definedName name="_xlnm._FilterDatabase" localSheetId="3" hidden="1">'Đối chiếu Long'!$A$3:$C$3</definedName>
    <definedName name="_xlnm._FilterDatabase" localSheetId="4" hidden="1">'Nhập hàng'!$A$1:$N$1</definedName>
    <definedName name="_xlnm._FilterDatabase" localSheetId="5" hidden="1">'Thanh toán'!$A$1:$G$1</definedName>
    <definedName name="_xlnm._FilterDatabase" localSheetId="6" hidden="1">'Trả hàng'!$A$1:$K$1</definedName>
    <definedName name="_xlnm._FilterDatabase" localSheetId="7" hidden="1">'Đơn khách'!$A$1:$K$1</definedName>
    <definedName name="_xlnm._FilterDatabase" localSheetId="8" hidden="1">'Đối tác'!$A$1:$D$1</definedName>
    <definedName name="_xlnm._FilterDatabase" localSheetId="9" hidden="1">'Cảnh báo dữ liệu'!$A$1:$C$1</definedName>
  </definedNames>
  <calcPr calcId="124519" fullCalcOnLoad="1" forceFullCalc="1"/>
</workbook>
</file>

<file path=xl/styles.xml><?xml version="1.0" encoding="utf-8"?>
<styleSheet xmlns="http://schemas.openxmlformats.org/spreadsheetml/2006/main">
  <numFmts count="6">
    <numFmt numFmtId="164" formatCode="d/m/yyyy"/>
    <numFmt numFmtId="165" formatCode="dd/mm/yyyy"/>
    <numFmt numFmtId="166" formatCode="#,##0\ [$đ-42A]"/>
    <numFmt numFmtId="167" formatCode="d/m/yy"/>
    <numFmt numFmtId="168" formatCode="yyyy-mm-dd h:mm:ss"/>
    <numFmt numFmtId="169" formatCode="#,##0 &quot;đ&quot;"/>
  </numFmts>
  <fonts count="16">
    <font>
      <name val="Calibri"/>
      <color theme="1"/>
      <sz val="11"/>
      <scheme val="minor"/>
    </font>
    <font>
      <name val="Calibri"/>
      <b val="1"/>
      <color theme="1"/>
      <sz val="20"/>
    </font>
    <font>
      <name val="Calibri"/>
      <color theme="1"/>
      <sz val="11"/>
    </font>
    <font>
      <name val="Calibri"/>
      <color theme="1"/>
      <scheme val="minor"/>
    </font>
    <font>
      <name val="Calibri"/>
      <b val="1"/>
      <color theme="1"/>
      <sz val="11"/>
    </font>
    <font>
      <name val="Calibri"/>
      <b val="1"/>
      <color theme="1"/>
      <scheme val="minor"/>
    </font>
    <font>
      <name val="Calibri"/>
      <b val="1"/>
      <color theme="1"/>
      <sz val="12"/>
    </font>
    <font/>
    <font>
      <name val="Calibri"/>
      <b val="1"/>
      <color theme="1"/>
      <sz val="14"/>
    </font>
    <font>
      <name val="Calibri"/>
      <color theme="0"/>
      <sz val="11"/>
    </font>
    <font>
      <b val="1"/>
      <color rgb="00FFFFFF"/>
    </font>
    <font>
      <b val="1"/>
    </font>
    <font>
      <b val="1"/>
      <color rgb="00000000"/>
    </font>
    <font>
      <b val="1"/>
      <color rgb="00111827"/>
      <sz val="16"/>
    </font>
    <font>
      <b val="1"/>
      <sz val="16"/>
    </font>
    <font>
      <b val="1"/>
      <color rgb="00111827"/>
    </font>
  </fonts>
  <fills count="13">
    <fill>
      <patternFill/>
    </fill>
    <fill>
      <patternFill patternType="lightGray"/>
    </fill>
    <fill>
      <patternFill patternType="solid">
        <fgColor rgb="FFD99594"/>
        <bgColor rgb="FFD99594"/>
      </patternFill>
    </fill>
    <fill>
      <patternFill patternType="solid">
        <fgColor rgb="FFC2D69B"/>
        <bgColor rgb="FFC2D69B"/>
      </patternFill>
    </fill>
    <fill>
      <patternFill patternType="solid">
        <fgColor rgb="FFFFFFFF"/>
        <bgColor rgb="FFFFFFFF"/>
      </patternFill>
    </fill>
    <fill>
      <patternFill patternType="solid">
        <fgColor theme="6"/>
        <bgColor theme="6"/>
      </patternFill>
    </fill>
    <fill>
      <patternFill patternType="solid">
        <fgColor rgb="FFB6DDE8"/>
        <bgColor rgb="FFB6DDE8"/>
      </patternFill>
    </fill>
    <fill>
      <patternFill patternType="solid">
        <fgColor rgb="FFFF3300"/>
        <bgColor rgb="FFFF3300"/>
      </patternFill>
    </fill>
    <fill>
      <patternFill patternType="solid">
        <fgColor rgb="001F2937"/>
      </patternFill>
    </fill>
    <fill>
      <patternFill patternType="solid">
        <fgColor rgb="00A9D18E"/>
      </patternFill>
    </fill>
    <fill>
      <patternFill patternType="solid">
        <fgColor rgb="00B7DEE8"/>
      </patternFill>
    </fill>
    <fill>
      <patternFill patternType="solid">
        <fgColor rgb="00FF3300"/>
      </patternFill>
    </fill>
    <fill>
      <patternFill patternType="solid">
        <fgColor rgb="00EFF6FF"/>
      </patternFill>
    </fill>
  </fills>
  <borders count="7">
    <border/>
    <border>
      <left style="thin">
        <color rgb="FF000000"/>
      </left>
      <right style="thin">
        <color rgb="FF000000"/>
      </right>
      <top style="thin">
        <color rgb="FF000000"/>
      </top>
      <bottom style="thin">
        <color rgb="FF000000"/>
      </bottom>
    </border>
    <border>
      <left/>
      <top/>
      <bottom/>
    </border>
    <border>
      <top/>
      <bottom/>
    </border>
    <border>
      <right/>
      <top/>
      <bottom/>
    </border>
    <border>
      <left/>
      <right/>
      <top/>
      <bottom/>
    </border>
    <border>
      <left style="thin">
        <color rgb="00E5E7EB"/>
      </left>
      <right style="thin">
        <color rgb="00E5E7EB"/>
      </right>
      <top style="thin">
        <color rgb="00E5E7EB"/>
      </top>
      <bottom style="thin">
        <color rgb="00E5E7EB"/>
      </bottom>
    </border>
  </borders>
  <cellStyleXfs count="1">
    <xf numFmtId="0" fontId="0" fillId="0" borderId="0"/>
  </cellStyleXfs>
  <cellXfs count="63">
    <xf numFmtId="0" fontId="0" fillId="0" borderId="0" applyAlignment="1" pivotButton="0" quotePrefix="0" xfId="0">
      <alignment vertical="bottom"/>
    </xf>
    <xf numFmtId="0" fontId="1" fillId="0" borderId="0" applyAlignment="1" pivotButton="0" quotePrefix="0" xfId="0">
      <alignment horizontal="center"/>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2" fillId="0" borderId="0" pivotButton="0" quotePrefix="0" xfId="0"/>
    <xf numFmtId="0" fontId="2" fillId="0" borderId="0" applyAlignment="1" pivotButton="0" quotePrefix="0" xfId="0">
      <alignment horizontal="left"/>
    </xf>
    <xf numFmtId="3" fontId="2" fillId="0" borderId="0" applyAlignment="1" pivotButton="0" quotePrefix="0" xfId="0">
      <alignment horizontal="right"/>
    </xf>
    <xf numFmtId="3" fontId="2" fillId="0" borderId="0" pivotButton="0" quotePrefix="0" xfId="0"/>
    <xf numFmtId="3" fontId="2" fillId="0" borderId="0" applyAlignment="1" pivotButton="0" quotePrefix="0" xfId="0">
      <alignment horizontal="left"/>
    </xf>
    <xf numFmtId="0" fontId="2" fillId="0" borderId="0" applyAlignment="1" pivotButton="0" quotePrefix="0" xfId="0">
      <alignment horizontal="right"/>
    </xf>
    <xf numFmtId="0" fontId="2" fillId="0" borderId="0" applyAlignment="1" pivotButton="0" quotePrefix="0" xfId="0">
      <alignment horizontal="right"/>
    </xf>
    <xf numFmtId="0" fontId="4" fillId="0" borderId="0" applyAlignment="1" pivotButton="0" quotePrefix="0" xfId="0">
      <alignment horizontal="right"/>
    </xf>
    <xf numFmtId="164" fontId="3" fillId="0" borderId="0" pivotButton="0" quotePrefix="0" xfId="0"/>
    <xf numFmtId="3" fontId="3" fillId="0" borderId="0" pivotButton="0" quotePrefix="0" xfId="0"/>
    <xf numFmtId="0" fontId="3" fillId="0" borderId="1" pivotButton="0" quotePrefix="0" xfId="0"/>
    <xf numFmtId="165" fontId="3" fillId="0" borderId="0" pivotButton="0" quotePrefix="0" xfId="0"/>
    <xf numFmtId="164" fontId="5" fillId="0" borderId="0" pivotButton="0" quotePrefix="0" xfId="0"/>
    <xf numFmtId="3" fontId="3" fillId="0" borderId="0" pivotButton="0" quotePrefix="0" xfId="0"/>
    <xf numFmtId="0" fontId="6" fillId="2" borderId="2" applyAlignment="1" pivotButton="0" quotePrefix="0" xfId="0">
      <alignment horizontal="center"/>
    </xf>
    <xf numFmtId="0" fontId="7" fillId="0" borderId="3" pivotButton="0" quotePrefix="0" xfId="0"/>
    <xf numFmtId="0" fontId="7" fillId="0" borderId="4" pivotButton="0" quotePrefix="0" xfId="0"/>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vertical="center"/>
    </xf>
    <xf numFmtId="0" fontId="2" fillId="0" borderId="0" applyAlignment="1" pivotButton="0" quotePrefix="0" xfId="0">
      <alignment horizontal="center" vertical="center"/>
    </xf>
    <xf numFmtId="3" fontId="2" fillId="0" borderId="0" applyAlignment="1" pivotButton="0" quotePrefix="0" xfId="0">
      <alignment vertical="center"/>
    </xf>
    <xf numFmtId="3" fontId="2" fillId="0" borderId="0" applyAlignment="1" pivotButton="0" quotePrefix="0" xfId="0">
      <alignment horizontal="center"/>
    </xf>
    <xf numFmtId="0" fontId="8" fillId="3" borderId="2" applyAlignment="1" pivotButton="0" quotePrefix="0" xfId="0">
      <alignment horizontal="center"/>
    </xf>
    <xf numFmtId="0" fontId="4" fillId="0" borderId="0" applyAlignment="1" pivotButton="0" quotePrefix="0" xfId="0">
      <alignment horizontal="center"/>
    </xf>
    <xf numFmtId="0" fontId="4" fillId="0" borderId="0" pivotButton="0" quotePrefix="0" xfId="0"/>
    <xf numFmtId="3" fontId="2" fillId="4" borderId="0" pivotButton="0" quotePrefix="0" xfId="0"/>
    <xf numFmtId="0" fontId="4" fillId="0" borderId="0" applyAlignment="1" pivotButton="0" quotePrefix="0" xfId="0">
      <alignment horizontal="center" vertical="center"/>
    </xf>
    <xf numFmtId="3" fontId="2" fillId="5" borderId="5" pivotButton="0" quotePrefix="0" xfId="0"/>
    <xf numFmtId="0" fontId="2" fillId="0" borderId="0" applyAlignment="1" pivotButton="0" quotePrefix="0" xfId="0">
      <alignment horizontal="right" vertical="center"/>
    </xf>
    <xf numFmtId="166" fontId="2" fillId="0" borderId="0" applyAlignment="1" pivotButton="0" quotePrefix="0" xfId="0">
      <alignment vertical="center"/>
    </xf>
    <xf numFmtId="166" fontId="2" fillId="0" borderId="0" applyAlignment="1" pivotButton="0" quotePrefix="0" xfId="0">
      <alignment horizontal="right" vertical="center"/>
    </xf>
    <xf numFmtId="3" fontId="2" fillId="6" borderId="5" pivotButton="0" quotePrefix="0" xfId="0"/>
    <xf numFmtId="166" fontId="2" fillId="0" borderId="0" applyAlignment="1" pivotButton="0" quotePrefix="0" xfId="0">
      <alignment vertical="center"/>
    </xf>
    <xf numFmtId="3" fontId="9" fillId="7" borderId="5" pivotButton="0" quotePrefix="0" xfId="0"/>
    <xf numFmtId="0" fontId="2" fillId="0" borderId="0" applyAlignment="1" pivotButton="0" quotePrefix="0" xfId="0">
      <alignment vertical="center"/>
    </xf>
    <xf numFmtId="0" fontId="2" fillId="0" borderId="0" applyAlignment="1" pivotButton="0" quotePrefix="0" xfId="0">
      <alignment horizontal="right" vertical="center"/>
    </xf>
    <xf numFmtId="167" fontId="3" fillId="0" borderId="0" pivotButton="0" quotePrefix="0" xfId="0"/>
    <xf numFmtId="0" fontId="4" fillId="0" borderId="0" applyAlignment="1" pivotButton="0" quotePrefix="0" xfId="0">
      <alignment vertical="center"/>
    </xf>
    <xf numFmtId="0" fontId="0" fillId="0" borderId="0" pivotButton="0" quotePrefix="0" xfId="0"/>
    <xf numFmtId="0" fontId="14" fillId="0" borderId="6" applyAlignment="1" pivotButton="0" quotePrefix="0" xfId="0">
      <alignment vertical="top" wrapText="1"/>
    </xf>
    <xf numFmtId="0" fontId="0" fillId="0" borderId="6" applyAlignment="1" pivotButton="0" quotePrefix="0" xfId="0">
      <alignment vertical="top" wrapText="1"/>
    </xf>
    <xf numFmtId="0" fontId="15" fillId="0" borderId="6" applyAlignment="1" pivotButton="0" quotePrefix="0" xfId="0">
      <alignment vertical="top" wrapText="1"/>
    </xf>
    <xf numFmtId="0" fontId="13" fillId="0" borderId="6" applyAlignment="1" pivotButton="0" quotePrefix="0" xfId="0">
      <alignment vertical="top" wrapText="1"/>
    </xf>
    <xf numFmtId="0" fontId="11" fillId="0" borderId="6" applyAlignment="1" pivotButton="0" quotePrefix="0" xfId="0">
      <alignment vertical="top" wrapText="1"/>
    </xf>
    <xf numFmtId="169" fontId="0" fillId="12" borderId="6" applyAlignment="1" pivotButton="0" quotePrefix="0" xfId="0">
      <alignment vertical="top" wrapText="1"/>
    </xf>
    <xf numFmtId="169" fontId="0" fillId="0" borderId="6" applyAlignment="1" pivotButton="0" quotePrefix="0" xfId="0">
      <alignment vertical="top" wrapText="1"/>
    </xf>
    <xf numFmtId="0" fontId="10" fillId="8" borderId="6" applyAlignment="1" pivotButton="0" quotePrefix="0" xfId="0">
      <alignment vertical="top" wrapText="1"/>
    </xf>
    <xf numFmtId="0" fontId="0" fillId="12" borderId="6" applyAlignment="1" pivotButton="0" quotePrefix="0" xfId="0">
      <alignment vertical="top" wrapText="1"/>
    </xf>
    <xf numFmtId="169" fontId="11" fillId="12" borderId="6" applyAlignment="1" pivotButton="0" quotePrefix="0" xfId="0">
      <alignment vertical="top" wrapText="1"/>
    </xf>
    <xf numFmtId="169" fontId="10" fillId="8" borderId="6" applyAlignment="1" pivotButton="0" quotePrefix="0" xfId="0">
      <alignment vertical="top" wrapText="1"/>
    </xf>
    <xf numFmtId="168" fontId="0" fillId="0" borderId="6" applyAlignment="1" pivotButton="0" quotePrefix="0" xfId="0">
      <alignment vertical="top" wrapText="1"/>
    </xf>
    <xf numFmtId="169" fontId="12" fillId="12" borderId="6" applyAlignment="1" pivotButton="0" quotePrefix="0" xfId="0">
      <alignment vertical="top" wrapText="1"/>
    </xf>
    <xf numFmtId="169" fontId="10" fillId="12" borderId="6" applyAlignment="1" pivotButton="0" quotePrefix="0" xfId="0">
      <alignment vertical="top" wrapText="1"/>
    </xf>
    <xf numFmtId="0" fontId="6" fillId="2" borderId="5" applyAlignment="1" pivotButton="0" quotePrefix="0" xfId="0">
      <alignment horizontal="center"/>
    </xf>
    <xf numFmtId="0" fontId="8" fillId="3" borderId="5" applyAlignment="1" pivotButton="0" quotePrefix="0" xfId="0">
      <alignment horizontal="center"/>
    </xf>
  </cellXfs>
  <cellStyles count="1">
    <cellStyle name="Normal" xfId="0" builtinId="0"/>
  </cellStyles>
  <dxfs count="7">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ill>
        <patternFill patternType="solid">
          <fgColor rgb="00FEE2E2"/>
        </patternFill>
      </fill>
    </dxf>
    <dxf>
      <fill>
        <patternFill patternType="solid">
          <fgColor rgb="00DBEAFE"/>
        </patternFill>
      </fill>
    </dxf>
  </dxfs>
  <tableStyles count="2" defaultTableStyle="TableStyleMedium9" defaultPivotStyle="PivotStyleLight16">
    <tableStyle name="Đơn trả lại-style" pivot="0" count="4">
      <tableStyleElement type="headerRow" dxfId="1"/>
      <tableStyleElement type="firstRowStripe" dxfId="2"/>
      <tableStyleElement type="secondRowStripe" dxfId="3"/>
      <tableStyleElement type="wholeTable" size="0" dxfId="4"/>
    </tableStyle>
    <tableStyle name="Đơn hàng đã bán-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Bảng_2" displayName="Bảng_2" ref="A3:E7" headerRowCount="1">
  <tableColumns count="5">
    <tableColumn id="1" name="STT"/>
    <tableColumn id="2" name="TÊN ĐƠN HÀNG"/>
    <tableColumn id="3" name="Loại"/>
    <tableColumn id="4" name="SỐ LƯỢNG"/>
    <tableColumn id="5" name="THÀNH TIỀN"/>
  </tableColumns>
  <tableStyleInfo name="Đơn trả lại-style" showFirstColumn="1" showLastColumn="1" showRowStripes="1" showColumnStripes="0"/>
</table>
</file>

<file path=xl/tables/table2.xml><?xml version="1.0" encoding="utf-8"?>
<table xmlns="http://schemas.openxmlformats.org/spreadsheetml/2006/main" id="2" name="Bảng_1" displayName="Bảng_1" ref="A3:F51" headerRowCount="1">
  <tableColumns count="6">
    <tableColumn id="1" name="TÊN FB"/>
    <tableColumn id="2" name="SẢN PHẨM"/>
    <tableColumn id="3" name="SỐ ĐIỆN THOẠI"/>
    <tableColumn id="4" name="SỐ TIỀN"/>
    <tableColumn id="5" name="TRẢ"/>
    <tableColumn id="6" name="CÒN"/>
  </tableColumns>
  <tableStyleInfo name="Đơn hàng đã bán-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3.xml.rels><Relationships xmlns="http://schemas.openxmlformats.org/package/2006/relationships"><Relationship Type="http://schemas.openxmlformats.org/officeDocument/2006/relationships/table" Target="/xl/tables/table1.xml" Id="rId1"/></Relationships>
</file>

<file path=xl/worksheets/_rels/sheet1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C9"/>
  <sheetViews>
    <sheetView showGridLines="0" workbookViewId="0">
      <selection activeCell="A1" sqref="A1"/>
    </sheetView>
  </sheetViews>
  <sheetFormatPr baseColWidth="8" defaultRowHeight="15"/>
  <cols>
    <col width="24" customWidth="1" style="46" min="1" max="1"/>
    <col width="96" customWidth="1" style="46" min="2" max="2"/>
    <col width="16" customWidth="1" style="46" min="3" max="3"/>
  </cols>
  <sheetData>
    <row r="1" ht="28" customHeight="1" s="46">
      <c r="A1" s="47" t="inlineStr">
        <is>
          <t>Hướng dẫn dùng bản copy</t>
        </is>
      </c>
      <c r="B1" s="48" t="n"/>
      <c r="C1" s="48" t="n"/>
    </row>
    <row r="2">
      <c r="A2" s="48" t="n"/>
      <c r="B2" s="48" t="n"/>
      <c r="C2" s="48" t="n"/>
    </row>
    <row r="3">
      <c r="A3" s="49" t="inlineStr">
        <is>
          <t>Không sửa sheet gốc</t>
        </is>
      </c>
      <c r="B3" s="48" t="inlineStr">
        <is>
          <t>File này được tạo từ bản export của Google Sheet gốc và không ghi đè dữ liệu gốc.</t>
        </is>
      </c>
      <c r="C3" s="48" t="n"/>
    </row>
    <row r="4">
      <c r="A4" s="49" t="inlineStr">
        <is>
          <t>Số dư chốt Long</t>
        </is>
      </c>
      <c r="B4" s="48" t="inlineStr">
        <is>
          <t>Nợ tạm tính đến 07/05/2026 được nhập như một dòng số dư chốt. Các dòng mua/trả hàng/thanh toán cũ vẫn giữ để đối chiếu nhưng mặc định không tính lại vào công nợ hiện tại.</t>
        </is>
      </c>
      <c r="C4" s="48" t="n"/>
    </row>
    <row r="5">
      <c r="A5" s="49" t="inlineStr">
        <is>
          <t>Khi lấy hàng</t>
        </is>
      </c>
      <c r="B5" s="48" t="inlineStr">
        <is>
          <t>Nhập một dòng trong tab Nhập hàng, chọn Đối tác công nợ, nhập số lượng/đơn giá hoặc nhập trực tiếp Thành tiền, và để Tính công nợ = Có nếu phát sinh đó làm tăng nợ.</t>
        </is>
      </c>
      <c r="C5" s="48" t="n"/>
    </row>
    <row r="6">
      <c r="A6" s="49" t="inlineStr">
        <is>
          <t>Khi thanh toán</t>
        </is>
      </c>
      <c r="B6" s="48" t="inlineStr">
        <is>
          <t>Nhập một dòng trong tab Thanh toán. Công nợ ở tab Công nợ đối tác sẽ tự giảm khi Tính công nợ = Có.</t>
        </is>
      </c>
      <c r="C6" s="48" t="n"/>
    </row>
    <row r="7">
      <c r="A7" s="49" t="inlineStr">
        <is>
          <t>Khi trả hàng</t>
        </is>
      </c>
      <c r="B7" s="48" t="inlineStr">
        <is>
          <t>Nhập một dòng trong tab Trả hàng. Công nợ đối tác cũng tự giảm theo giá trị hàng trả khi Tính công nợ = Có.</t>
        </is>
      </c>
      <c r="C7" s="48" t="n"/>
    </row>
    <row r="8">
      <c r="A8" s="49" t="inlineStr">
        <is>
          <t>Thêm đối tác mới</t>
        </is>
      </c>
      <c r="B8" s="48" t="inlineStr">
        <is>
          <t>Thêm tên vào tab Đối tác, rồi chọn tên đó ở Nhập hàng/Thanh toán/Trả hàng. Các nguồn cũ như Shopee/Lào Cai hiện chỉ là nguồn Long mua hộ, chưa phải công nợ riêng.</t>
        </is>
      </c>
      <c r="C8" s="48" t="n"/>
    </row>
    <row r="9">
      <c r="A9" s="49" t="inlineStr">
        <is>
          <t>Đơn khách</t>
        </is>
      </c>
      <c r="B9" s="48" t="inlineStr">
        <is>
          <t>Tab Đơn khách giữ cả đơn thiếu số tiền vì Minh Hồng cần quản lý đơn và số lượng pin đã bán. Các đơn thiếu tiền hiện tại được gắn Trạng thái dữ liệu = Quên giá; ô tổng tiền/tổng đã thu/nợ còn nằm ở cột L:M.</t>
        </is>
      </c>
      <c r="C9" s="48" t="n"/>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38" customWidth="1" style="46" min="1" max="1"/>
    <col width="64" customWidth="1" style="46" min="2" max="2"/>
    <col width="16" customWidth="1" style="46" min="3" max="3"/>
    <col width="16" customWidth="1" style="46" min="4" max="4"/>
  </cols>
  <sheetData>
    <row r="1" ht="28" customHeight="1" s="46">
      <c r="A1" s="50" t="inlineStr">
        <is>
          <t>Tổng quan công nợ và đơn khách</t>
        </is>
      </c>
      <c r="B1" s="48" t="n"/>
      <c r="C1" s="48" t="n"/>
      <c r="D1" s="48" t="n"/>
    </row>
    <row r="2">
      <c r="A2" s="48" t="n"/>
      <c r="B2" s="48" t="n"/>
      <c r="C2" s="48" t="n"/>
      <c r="D2" s="48" t="n"/>
    </row>
    <row r="3">
      <c r="A3" s="51" t="inlineStr">
        <is>
          <t>Tổng giá trị hàng/nợ tính công nợ</t>
        </is>
      </c>
      <c r="B3" s="52">
        <f>'Công nợ đối tác'!B13</f>
        <v/>
      </c>
      <c r="C3" s="48" t="n"/>
      <c r="D3" s="48" t="n"/>
    </row>
    <row r="4">
      <c r="A4" s="51" t="inlineStr">
        <is>
          <t>Tổng đã thanh toán đối tác</t>
        </is>
      </c>
      <c r="B4" s="52">
        <f>'Công nợ đối tác'!C13</f>
        <v/>
      </c>
      <c r="C4" s="48" t="n"/>
      <c r="D4" s="48" t="n"/>
    </row>
    <row r="5">
      <c r="A5" s="51" t="inlineStr">
        <is>
          <t>Tổng hàng trả lại</t>
        </is>
      </c>
      <c r="B5" s="52">
        <f>'Công nợ đối tác'!D13</f>
        <v/>
      </c>
      <c r="C5" s="48" t="n"/>
      <c r="D5" s="48" t="n"/>
    </row>
    <row r="6">
      <c r="A6" s="51" t="inlineStr">
        <is>
          <t>Công nợ đối tác hiện tại</t>
        </is>
      </c>
      <c r="B6" s="52">
        <f>'Công nợ đối tác'!E13</f>
        <v/>
      </c>
      <c r="C6" s="48" t="n"/>
      <c r="D6" s="48" t="n"/>
    </row>
    <row r="7">
      <c r="A7" s="51" t="inlineStr">
        <is>
          <t>Tổng tiền đơn khách</t>
        </is>
      </c>
      <c r="B7" s="52">
        <f>SUM('Đơn khách'!F:F)</f>
        <v/>
      </c>
      <c r="C7" s="48" t="n"/>
      <c r="D7" s="48" t="n"/>
    </row>
    <row r="8">
      <c r="A8" s="51" t="inlineStr">
        <is>
          <t>Đã thu từ khách</t>
        </is>
      </c>
      <c r="B8" s="52">
        <f>SUM('Đơn khách'!G:G)</f>
        <v/>
      </c>
      <c r="C8" s="48" t="n"/>
      <c r="D8" s="48" t="n"/>
    </row>
    <row r="9">
      <c r="A9" s="51" t="inlineStr">
        <is>
          <t>Khách còn nợ</t>
        </is>
      </c>
      <c r="B9" s="52">
        <f>SUM('Đơn khách'!H:H)</f>
        <v/>
      </c>
      <c r="C9" s="48" t="n"/>
      <c r="D9" s="48" t="n"/>
    </row>
    <row r="10">
      <c r="A10" s="51" t="inlineStr">
        <is>
          <t>Long: tổng theo chi tiết mới</t>
        </is>
      </c>
      <c r="B10" s="53" t="n">
        <v>27720000</v>
      </c>
      <c r="C10" s="48" t="n"/>
      <c r="D10" s="48" t="n"/>
    </row>
    <row r="11">
      <c r="A11" s="51" t="inlineStr">
        <is>
          <t>Long: tổng Minh Hồng ghi</t>
        </is>
      </c>
      <c r="B11" s="53" t="n">
        <v>27720000</v>
      </c>
      <c r="C11" s="48" t="n"/>
      <c r="D11" s="48" t="n"/>
    </row>
    <row r="12">
      <c r="A12" s="51" t="inlineStr">
        <is>
          <t>Long: lệch chi tiết - tổng ghi</t>
        </is>
      </c>
      <c r="B12" s="53" t="n">
        <v>0</v>
      </c>
      <c r="C12" s="48" t="n"/>
      <c r="D12" s="48" t="n"/>
    </row>
    <row r="13">
      <c r="A13" s="51" t="inlineStr">
        <is>
          <t>Long: còn nợ thô trước 08/05</t>
        </is>
      </c>
      <c r="B13" s="53" t="n">
        <v>19945500</v>
      </c>
      <c r="C13" s="48" t="n"/>
      <c r="D13" s="48" t="n"/>
    </row>
    <row r="14">
      <c r="A14" s="51" t="inlineStr">
        <is>
          <t>Long: lệch chốt 07/05 - thô cũ</t>
        </is>
      </c>
      <c r="B14" s="53" t="n">
        <v>284500</v>
      </c>
      <c r="C14" s="48" t="n"/>
      <c r="D14" s="48" t="n"/>
    </row>
    <row r="15">
      <c r="A15" s="51" t="inlineStr">
        <is>
          <t>Long: còn nợ thô cùng mốc</t>
        </is>
      </c>
      <c r="B15" s="53" t="n">
        <v>12435500</v>
      </c>
      <c r="C15" s="48" t="n"/>
      <c r="D15" s="48" t="n"/>
    </row>
    <row r="16">
      <c r="A16" s="51" t="inlineStr">
        <is>
          <t>Long: chênh chính thức - thô cùng mốc</t>
        </is>
      </c>
      <c r="B16" s="53" t="n">
        <v>284500</v>
      </c>
      <c r="C16" s="48" t="n"/>
      <c r="D16" s="48" t="n"/>
    </row>
    <row r="17">
      <c r="A17" s="51" t="inlineStr">
        <is>
          <t>Cách hiểu công nợ</t>
        </is>
      </c>
      <c r="B17" s="48" t="inlineStr">
        <is>
          <t>Công nợ đối tác = Giá trị hàng/nợ tính công nợ - Đã thanh toán - Hàng trả lại. Dữ liệu cũ trước 07/05/2026 đã được gộp vào số dư chốt để tránh cộng đôi; số theo dòng thô chỉ dùng để đối chiếu cùng mốc thời gian.</t>
        </is>
      </c>
      <c r="C17" s="48" t="n"/>
      <c r="D17" s="48" t="n"/>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showGridLines="0" workbookViewId="0">
      <pane ySplit="1" topLeftCell="A2" activePane="bottomLeft" state="frozen"/>
      <selection pane="bottomLeft" activeCell="A1" sqref="A1"/>
    </sheetView>
  </sheetViews>
  <sheetFormatPr baseColWidth="8" defaultRowHeight="15"/>
  <cols>
    <col width="24" customWidth="1" style="46" min="1" max="1"/>
    <col width="22" customWidth="1" style="46" min="2" max="2"/>
    <col width="18" customWidth="1" style="46" min="3" max="3"/>
    <col width="18" customWidth="1" style="46" min="4" max="4"/>
    <col width="22" customWidth="1" style="46" min="5" max="5"/>
    <col width="20" customWidth="1" style="46" min="6" max="6"/>
    <col width="20" customWidth="1" style="46" min="7" max="7"/>
    <col width="28" customWidth="1" style="46" min="8" max="8"/>
    <col width="78" customWidth="1" style="46" min="9" max="9"/>
  </cols>
  <sheetData>
    <row r="1" ht="28" customHeight="1" s="46">
      <c r="A1" s="54" t="inlineStr">
        <is>
          <t>Đối tác</t>
        </is>
      </c>
      <c r="B1" s="54" t="inlineStr">
        <is>
          <t>Giá trị hàng lấy</t>
        </is>
      </c>
      <c r="C1" s="54" t="inlineStr">
        <is>
          <t>Đã thanh toán</t>
        </is>
      </c>
      <c r="D1" s="54" t="inlineStr">
        <is>
          <t>Hàng trả lại</t>
        </is>
      </c>
      <c r="E1" s="54" t="inlineStr">
        <is>
          <t>Công nợ còn phải trả</t>
        </is>
      </c>
      <c r="F1" s="54" t="inlineStr">
        <is>
          <t>Theo thô cùng mốc</t>
        </is>
      </c>
      <c r="G1" s="54" t="inlineStr">
        <is>
          <t>Chênh chốt - thô cùng mốc</t>
        </is>
      </c>
      <c r="H1" s="54" t="inlineStr">
        <is>
          <t>Trạng thái</t>
        </is>
      </c>
      <c r="I1" s="54" t="inlineStr">
        <is>
          <t>Ghi chú</t>
        </is>
      </c>
    </row>
    <row r="2">
      <c r="A2" s="48" t="inlineStr">
        <is>
          <t>Long</t>
        </is>
      </c>
      <c r="B2" s="52">
        <f>SUMIFS('Nhập hàng'!$J:$J,'Nhập hàng'!$C:$C,A2,'Nhập hàng'!$L:$L,"Có")</f>
        <v/>
      </c>
      <c r="C2" s="52">
        <f>SUMIFS('Thanh toán'!$D:$D,'Thanh toán'!$C:$C,A2,'Thanh toán'!$G:$G,"Có")</f>
        <v/>
      </c>
      <c r="D2" s="52">
        <f>SUMIFS('Trả hàng'!$H:$H,'Trả hàng'!$C:$C,A2,'Trả hàng'!$I:$I,"Có")</f>
        <v/>
      </c>
      <c r="E2" s="52">
        <f>B2-C2-D2</f>
        <v/>
      </c>
      <c r="F2" s="53" t="n">
        <v>12435500</v>
      </c>
      <c r="G2" s="52">
        <f>E2-F2</f>
        <v/>
      </c>
      <c r="H2" s="55">
        <f>IF(E2&gt;0,"Còn phải trả đối tác",IF(E2&lt;0,"Đã chuyển dư/tạm ứng","Đã cân bằng"))</f>
        <v/>
      </c>
      <c r="I2" s="48" t="inlineStr">
        <is>
          <t>Dùng số dư chốt 07/05/2026 + phát sinh 08/05/2026; cột thô cùng mốc chỉ để đối chiếu, không cộng đôi.</t>
        </is>
      </c>
    </row>
    <row r="3">
      <c r="A3" s="48" t="inlineStr">
        <is>
          <t>Shopee</t>
        </is>
      </c>
      <c r="B3" s="52">
        <f>SUMIFS('Nhập hàng'!$J:$J,'Nhập hàng'!$C:$C,A3,'Nhập hàng'!$L:$L,"Có")</f>
        <v/>
      </c>
      <c r="C3" s="52">
        <f>SUMIFS('Thanh toán'!$D:$D,'Thanh toán'!$C:$C,A3,'Thanh toán'!$G:$G,"Có")</f>
        <v/>
      </c>
      <c r="D3" s="52">
        <f>SUMIFS('Trả hàng'!$H:$H,'Trả hàng'!$C:$C,A3,'Trả hàng'!$I:$I,"Có")</f>
        <v/>
      </c>
      <c r="E3" s="52">
        <f>B3-C3-D3</f>
        <v/>
      </c>
      <c r="F3" s="53" t="n"/>
      <c r="G3" s="53" t="n"/>
      <c r="H3" s="55">
        <f>IF(E3&gt;0,"Còn phải trả đối tác",IF(E3&lt;0,"Đã chuyển dư/tạm ứng","Đã cân bằng"))</f>
        <v/>
      </c>
      <c r="I3" s="48" t="n"/>
    </row>
    <row r="4">
      <c r="A4" s="48" t="inlineStr">
        <is>
          <t>Trần Viết Cường</t>
        </is>
      </c>
      <c r="B4" s="52">
        <f>SUMIFS('Nhập hàng'!$J:$J,'Nhập hàng'!$C:$C,A4,'Nhập hàng'!$L:$L,"Có")</f>
        <v/>
      </c>
      <c r="C4" s="52">
        <f>SUMIFS('Thanh toán'!$D:$D,'Thanh toán'!$C:$C,A4,'Thanh toán'!$G:$G,"Có")</f>
        <v/>
      </c>
      <c r="D4" s="52">
        <f>SUMIFS('Trả hàng'!$H:$H,'Trả hàng'!$C:$C,A4,'Trả hàng'!$I:$I,"Có")</f>
        <v/>
      </c>
      <c r="E4" s="52">
        <f>B4-C4-D4</f>
        <v/>
      </c>
      <c r="F4" s="53" t="n"/>
      <c r="G4" s="53" t="n"/>
      <c r="H4" s="55">
        <f>IF(E4&gt;0,"Còn phải trả đối tác",IF(E4&lt;0,"Đã chuyển dư/tạm ứng","Đã cân bằng"))</f>
        <v/>
      </c>
      <c r="I4" s="48" t="n"/>
    </row>
    <row r="5">
      <c r="A5" s="48" t="inlineStr">
        <is>
          <t>a Tâm</t>
        </is>
      </c>
      <c r="B5" s="52">
        <f>SUMIFS('Nhập hàng'!$J:$J,'Nhập hàng'!$C:$C,A5,'Nhập hàng'!$L:$L,"Có")</f>
        <v/>
      </c>
      <c r="C5" s="52">
        <f>SUMIFS('Thanh toán'!$D:$D,'Thanh toán'!$C:$C,A5,'Thanh toán'!$G:$G,"Có")</f>
        <v/>
      </c>
      <c r="D5" s="52">
        <f>SUMIFS('Trả hàng'!$H:$H,'Trả hàng'!$C:$C,A5,'Trả hàng'!$I:$I,"Có")</f>
        <v/>
      </c>
      <c r="E5" s="52">
        <f>B5-C5-D5</f>
        <v/>
      </c>
      <c r="F5" s="53" t="n"/>
      <c r="G5" s="53" t="n"/>
      <c r="H5" s="55">
        <f>IF(E5&gt;0,"Còn phải trả đối tác",IF(E5&lt;0,"Đã chuyển dư/tạm ứng","Đã cân bằng"))</f>
        <v/>
      </c>
      <c r="I5" s="48" t="n"/>
    </row>
    <row r="6">
      <c r="A6" s="48" t="inlineStr">
        <is>
          <t>Điện tử Lào Cai</t>
        </is>
      </c>
      <c r="B6" s="52">
        <f>SUMIFS('Nhập hàng'!$J:$J,'Nhập hàng'!$C:$C,A6,'Nhập hàng'!$L:$L,"Có")</f>
        <v/>
      </c>
      <c r="C6" s="52">
        <f>SUMIFS('Thanh toán'!$D:$D,'Thanh toán'!$C:$C,A6,'Thanh toán'!$G:$G,"Có")</f>
        <v/>
      </c>
      <c r="D6" s="52">
        <f>SUMIFS('Trả hàng'!$H:$H,'Trả hàng'!$C:$C,A6,'Trả hàng'!$I:$I,"Có")</f>
        <v/>
      </c>
      <c r="E6" s="52">
        <f>B6-C6-D6</f>
        <v/>
      </c>
      <c r="F6" s="53" t="n"/>
      <c r="G6" s="53" t="n"/>
      <c r="H6" s="55">
        <f>IF(E6&gt;0,"Còn phải trả đối tác",IF(E6&lt;0,"Đã chuyển dư/tạm ứng","Đã cân bằng"))</f>
        <v/>
      </c>
      <c r="I6" s="48" t="n"/>
    </row>
    <row r="7">
      <c r="A7" s="48" t="inlineStr">
        <is>
          <t>Dương Mạnh Ninh</t>
        </is>
      </c>
      <c r="B7" s="52">
        <f>SUMIFS('Nhập hàng'!$J:$J,'Nhập hàng'!$C:$C,A7,'Nhập hàng'!$L:$L,"Có")</f>
        <v/>
      </c>
      <c r="C7" s="52">
        <f>SUMIFS('Thanh toán'!$D:$D,'Thanh toán'!$C:$C,A7,'Thanh toán'!$G:$G,"Có")</f>
        <v/>
      </c>
      <c r="D7" s="52">
        <f>SUMIFS('Trả hàng'!$H:$H,'Trả hàng'!$C:$C,A7,'Trả hàng'!$I:$I,"Có")</f>
        <v/>
      </c>
      <c r="E7" s="52">
        <f>B7-C7-D7</f>
        <v/>
      </c>
      <c r="F7" s="53" t="n"/>
      <c r="G7" s="53" t="n"/>
      <c r="H7" s="55">
        <f>IF(E7&gt;0,"Còn phải trả đối tác",IF(E7&lt;0,"Đã chuyển dư/tạm ứng","Đã cân bằng"))</f>
        <v/>
      </c>
      <c r="I7" s="48" t="n"/>
    </row>
    <row r="8">
      <c r="A8" s="48" t="inlineStr">
        <is>
          <t>Nguyễn Thành</t>
        </is>
      </c>
      <c r="B8" s="52">
        <f>SUMIFS('Nhập hàng'!$J:$J,'Nhập hàng'!$C:$C,A8,'Nhập hàng'!$L:$L,"Có")</f>
        <v/>
      </c>
      <c r="C8" s="52">
        <f>SUMIFS('Thanh toán'!$D:$D,'Thanh toán'!$C:$C,A8,'Thanh toán'!$G:$G,"Có")</f>
        <v/>
      </c>
      <c r="D8" s="52">
        <f>SUMIFS('Trả hàng'!$H:$H,'Trả hàng'!$C:$C,A8,'Trả hàng'!$I:$I,"Có")</f>
        <v/>
      </c>
      <c r="E8" s="52">
        <f>B8-C8-D8</f>
        <v/>
      </c>
      <c r="F8" s="53" t="n"/>
      <c r="G8" s="53" t="n"/>
      <c r="H8" s="55">
        <f>IF(E8&gt;0,"Còn phải trả đối tác",IF(E8&lt;0,"Đã chuyển dư/tạm ứng","Đã cân bằng"))</f>
        <v/>
      </c>
      <c r="I8" s="48" t="n"/>
    </row>
    <row r="9">
      <c r="A9" s="48" t="inlineStr">
        <is>
          <t>Hiếu LK</t>
        </is>
      </c>
      <c r="B9" s="52">
        <f>SUMIFS('Nhập hàng'!$J:$J,'Nhập hàng'!$C:$C,A9,'Nhập hàng'!$L:$L,"Có")</f>
        <v/>
      </c>
      <c r="C9" s="52">
        <f>SUMIFS('Thanh toán'!$D:$D,'Thanh toán'!$C:$C,A9,'Thanh toán'!$G:$G,"Có")</f>
        <v/>
      </c>
      <c r="D9" s="52">
        <f>SUMIFS('Trả hàng'!$H:$H,'Trả hàng'!$C:$C,A9,'Trả hàng'!$I:$I,"Có")</f>
        <v/>
      </c>
      <c r="E9" s="52">
        <f>B9-C9-D9</f>
        <v/>
      </c>
      <c r="F9" s="53" t="n"/>
      <c r="G9" s="53" t="n"/>
      <c r="H9" s="55">
        <f>IF(E9&gt;0,"Còn phải trả đối tác",IF(E9&lt;0,"Đã chuyển dư/tạm ứng","Đã cân bằng"))</f>
        <v/>
      </c>
      <c r="I9" s="48" t="n"/>
    </row>
    <row r="10">
      <c r="A10" s="48" t="inlineStr">
        <is>
          <t>Tuấn Mạnh AZ</t>
        </is>
      </c>
      <c r="B10" s="52">
        <f>SUMIFS('Nhập hàng'!$J:$J,'Nhập hàng'!$C:$C,A10,'Nhập hàng'!$L:$L,"Có")</f>
        <v/>
      </c>
      <c r="C10" s="52">
        <f>SUMIFS('Thanh toán'!$D:$D,'Thanh toán'!$C:$C,A10,'Thanh toán'!$G:$G,"Có")</f>
        <v/>
      </c>
      <c r="D10" s="52">
        <f>SUMIFS('Trả hàng'!$H:$H,'Trả hàng'!$C:$C,A10,'Trả hàng'!$I:$I,"Có")</f>
        <v/>
      </c>
      <c r="E10" s="52">
        <f>B10-C10-D10</f>
        <v/>
      </c>
      <c r="F10" s="53" t="n"/>
      <c r="G10" s="53" t="n"/>
      <c r="H10" s="55">
        <f>IF(E10&gt;0,"Còn phải trả đối tác",IF(E10&lt;0,"Đã chuyển dư/tạm ứng","Đã cân bằng"))</f>
        <v/>
      </c>
      <c r="I10" s="48" t="n"/>
    </row>
    <row r="11">
      <c r="A11" s="48" t="inlineStr">
        <is>
          <t>Khác</t>
        </is>
      </c>
      <c r="B11" s="52">
        <f>SUMIFS('Nhập hàng'!$J:$J,'Nhập hàng'!$C:$C,A11,'Nhập hàng'!$L:$L,"Có")</f>
        <v/>
      </c>
      <c r="C11" s="52">
        <f>SUMIFS('Thanh toán'!$D:$D,'Thanh toán'!$C:$C,A11,'Thanh toán'!$G:$G,"Có")</f>
        <v/>
      </c>
      <c r="D11" s="52">
        <f>SUMIFS('Trả hàng'!$H:$H,'Trả hàng'!$C:$C,A11,'Trả hàng'!$I:$I,"Có")</f>
        <v/>
      </c>
      <c r="E11" s="52">
        <f>B11-C11-D11</f>
        <v/>
      </c>
      <c r="F11" s="53" t="n"/>
      <c r="G11" s="53" t="n"/>
      <c r="H11" s="55">
        <f>IF(E11&gt;0,"Còn phải trả đối tác",IF(E11&lt;0,"Đã chuyển dư/tạm ứng","Đã cân bằng"))</f>
        <v/>
      </c>
      <c r="I11" s="48" t="n"/>
    </row>
    <row r="12">
      <c r="A12" s="48" t="n"/>
      <c r="B12" s="53" t="n"/>
      <c r="C12" s="53" t="n"/>
      <c r="D12" s="53" t="n"/>
      <c r="E12" s="53" t="n"/>
      <c r="F12" s="53" t="n"/>
      <c r="G12" s="53" t="n"/>
      <c r="H12" s="48" t="n"/>
      <c r="I12" s="48" t="n"/>
    </row>
    <row r="13">
      <c r="A13" s="51" t="inlineStr">
        <is>
          <t>Tổng cộng</t>
        </is>
      </c>
      <c r="B13" s="56">
        <f>SUM(B2:B12)</f>
        <v/>
      </c>
      <c r="C13" s="56">
        <f>SUM(C2:C12)</f>
        <v/>
      </c>
      <c r="D13" s="56">
        <f>SUM(D2:D12)</f>
        <v/>
      </c>
      <c r="E13" s="56">
        <f>SUM(E2:E12)</f>
        <v/>
      </c>
      <c r="F13" s="56">
        <f>SUM(F2:F12)</f>
        <v/>
      </c>
      <c r="G13" s="56">
        <f>SUM(G2:G12)</f>
        <v/>
      </c>
      <c r="H13" s="48" t="n"/>
      <c r="I13" s="48" t="n"/>
    </row>
  </sheetData>
  <autoFilter ref="A1:I1"/>
  <conditionalFormatting sqref="E2:E13">
    <cfRule type="cellIs" priority="1" operator="greaterThan" dxfId="5">
      <formula>0</formula>
    </cfRule>
    <cfRule type="cellIs" priority="2" operator="lessThan" dxfId="6">
      <formula>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
  <sheetViews>
    <sheetView showGridLines="0" workbookViewId="0">
      <pane ySplit="3" topLeftCell="A4" activePane="bottomLeft" state="frozen"/>
      <selection pane="bottomLeft" activeCell="A1" sqref="A1"/>
    </sheetView>
  </sheetViews>
  <sheetFormatPr baseColWidth="8" defaultRowHeight="15"/>
  <cols>
    <col width="36" customWidth="1" style="46" min="1" max="1"/>
    <col width="18" customWidth="1" style="46" min="2" max="2"/>
    <col width="72" customWidth="1" style="46" min="3" max="3"/>
  </cols>
  <sheetData>
    <row r="1" ht="28" customHeight="1" s="46">
      <c r="A1" s="50" t="inlineStr">
        <is>
          <t>Đối chiếu công nợ Long</t>
        </is>
      </c>
      <c r="B1" s="48" t="n"/>
      <c r="C1" s="48" t="n"/>
    </row>
    <row r="2">
      <c r="A2" s="48" t="n"/>
      <c r="B2" s="53" t="n"/>
      <c r="C2" s="48" t="n"/>
    </row>
    <row r="3">
      <c r="A3" s="54" t="inlineStr">
        <is>
          <t>Mục</t>
        </is>
      </c>
      <c r="B3" s="57" t="inlineStr">
        <is>
          <t>Số tiền</t>
        </is>
      </c>
      <c r="C3" s="54" t="inlineStr">
        <is>
          <t>Ghi chú</t>
        </is>
      </c>
    </row>
    <row r="4">
      <c r="A4" s="48" t="inlineStr">
        <is>
          <t>Nợ tạm tính đến 07/05/2026</t>
        </is>
      </c>
      <c r="B4" s="53" t="n">
        <v>20230000</v>
      </c>
      <c r="C4" s="48" t="inlineStr">
        <is>
          <t>nợ tạm tính đến 7/5/26 là 20,230,000đ</t>
        </is>
      </c>
    </row>
    <row r="5">
      <c r="A5" s="48" t="inlineStr">
        <is>
          <t>Phát sinh sau chốt theo sheet</t>
        </is>
      </c>
      <c r="B5" s="53" t="n">
        <v>7500000</v>
      </c>
      <c r="C5" s="48" t="inlineStr">
        <is>
          <t>300cell eve 25p</t>
        </is>
      </c>
    </row>
    <row r="6">
      <c r="A6" s="48" t="inlineStr">
        <is>
          <t>Phát sinh sau chốt sau sửa</t>
        </is>
      </c>
      <c r="B6" s="53" t="n">
        <v>7490000</v>
      </c>
      <c r="C6" s="48" t="inlineStr">
        <is>
          <t>Sửa theo tổng chốt; 300cell eve 25p tính là 7.490.000đ.</t>
        </is>
      </c>
    </row>
    <row r="7">
      <c r="A7" s="48" t="inlineStr">
        <is>
          <t>Tổng theo chi tiết</t>
        </is>
      </c>
      <c r="B7" s="53" t="n">
        <v>27720000</v>
      </c>
      <c r="C7" s="48" t="inlineStr">
        <is>
          <t>Nợ chốt + phát sinh</t>
        </is>
      </c>
    </row>
    <row r="8">
      <c r="A8" s="48" t="inlineStr">
        <is>
          <t>Tổng Minh Hồng ghi</t>
        </is>
      </c>
      <c r="B8" s="53" t="n">
        <v>27720000</v>
      </c>
      <c r="C8" s="48" t="inlineStr">
        <is>
          <t>Theo tab Đơn hàng mua từ long</t>
        </is>
      </c>
    </row>
    <row r="9">
      <c r="A9" s="48" t="inlineStr">
        <is>
          <t>Lệch chi tiết - tổng ghi</t>
        </is>
      </c>
      <c r="B9" s="53" t="n">
        <v>0</v>
      </c>
      <c r="C9" s="48" t="inlineStr">
        <is>
          <t>Cần xác nhận nếu khác 0</t>
        </is>
      </c>
    </row>
    <row r="10">
      <c r="A10" s="48" t="inlineStr">
        <is>
          <t>Đã trả trước</t>
        </is>
      </c>
      <c r="B10" s="53" t="n">
        <v>15000000</v>
      </c>
      <c r="C10" s="48" t="inlineStr">
        <is>
          <t>Theo tab Đơn hàng mua từ long</t>
        </is>
      </c>
    </row>
    <row r="11">
      <c r="A11" s="48" t="inlineStr">
        <is>
          <t>Còn nợ theo chi tiết</t>
        </is>
      </c>
      <c r="B11" s="53" t="n">
        <v>12720000</v>
      </c>
      <c r="C11" s="48" t="inlineStr">
        <is>
          <t>Tổng theo chi tiết - đã trả trước</t>
        </is>
      </c>
    </row>
    <row r="12">
      <c r="A12" s="48" t="inlineStr">
        <is>
          <t>Còn nợ theo tổng Minh Hồng ghi</t>
        </is>
      </c>
      <c r="B12" s="53" t="n">
        <v>12720000</v>
      </c>
      <c r="C12" s="48" t="inlineStr">
        <is>
          <t>Tổng ghi - đã trả trước</t>
        </is>
      </c>
    </row>
    <row r="13">
      <c r="A13" s="48" t="inlineStr">
        <is>
          <t>Hàng lấy theo dòng thô cũ</t>
        </is>
      </c>
      <c r="B13" s="53" t="n">
        <v>66445500</v>
      </c>
      <c r="C13" s="48" t="inlineStr">
        <is>
          <t>Đã loại các dòng tổng/ghi chú để tránh cộng đôi trong phần thô.</t>
        </is>
      </c>
    </row>
    <row r="14">
      <c r="A14" s="48" t="inlineStr">
        <is>
          <t>Đã thanh toán theo dòng thô cũ</t>
        </is>
      </c>
      <c r="B14" s="53" t="n">
        <v>45000000</v>
      </c>
      <c r="C14" s="48" t="inlineStr">
        <is>
          <t>Số 45.000.000đ đã xác nhận.</t>
        </is>
      </c>
    </row>
    <row r="15">
      <c r="A15" s="48" t="inlineStr">
        <is>
          <t>Trả hàng theo dòng thô cũ</t>
        </is>
      </c>
      <c r="B15" s="53" t="n">
        <v>1500000</v>
      </c>
      <c r="C15" s="48" t="inlineStr"/>
    </row>
    <row r="16">
      <c r="A16" s="48" t="inlineStr">
        <is>
          <t>Còn nợ thô trước 08/05</t>
        </is>
      </c>
      <c r="B16" s="53" t="n">
        <v>19945500</v>
      </c>
      <c r="C16" s="48" t="inlineStr">
        <is>
          <t>66.445.500 - 45.000.000 - 1.500.000.</t>
        </is>
      </c>
    </row>
    <row r="17">
      <c r="A17" s="48" t="inlineStr">
        <is>
          <t>Chênh chốt 07/05 - thô cũ</t>
        </is>
      </c>
      <c r="B17" s="53" t="n">
        <v>284500</v>
      </c>
      <c r="C17" s="48" t="inlineStr">
        <is>
          <t>20.230.000 - 19.945.500. Đây là so sánh cùng mốc trước phát sinh/trả tiền 08/05.</t>
        </is>
      </c>
    </row>
    <row r="18">
      <c r="A18" s="48" t="inlineStr">
        <is>
          <t>Còn nợ thô cùng mốc hiện tại</t>
        </is>
      </c>
      <c r="B18" s="53" t="n">
        <v>12435500</v>
      </c>
      <c r="C18" s="48" t="inlineStr">
        <is>
          <t>19.945.500 + 7.490.000 - 15.000.000.</t>
        </is>
      </c>
    </row>
    <row r="19">
      <c r="A19" s="48" t="inlineStr">
        <is>
          <t>Chênh chính thức - thô cùng mốc</t>
        </is>
      </c>
      <c r="B19" s="53" t="n">
        <v>284500</v>
      </c>
      <c r="C19" s="48" t="inlineStr">
        <is>
          <t>12.720.000 - 12.435.500. Số chính thức vẫn theo số dư chốt 07/05/2026.</t>
        </is>
      </c>
    </row>
    <row r="20">
      <c r="A20" s="48" t="n"/>
      <c r="B20" s="53" t="n"/>
      <c r="C20" s="48" t="n"/>
    </row>
    <row r="21">
      <c r="A21" s="48" t="n"/>
      <c r="B21" s="53" t="n"/>
      <c r="C21" s="48" t="n"/>
    </row>
    <row r="22">
      <c r="A22" s="51" t="inlineStr">
        <is>
          <t>Kết luận</t>
        </is>
      </c>
      <c r="B22" s="53" t="inlineStr">
        <is>
          <t>Chi tiết sau khi sửa phát sinh 300cell eve 25p còn 7.490.000đ đã khớp tổng chốt và còn nợ 12.720.000đ. Số 19.945.500đ là còn nợ thô trước 08/05; nếu đưa về cùng mốc hiện tại thì còn 12.435.500đ, lệch số chính thức 284.500đ.</t>
        </is>
      </c>
      <c r="C22" s="48" t="n"/>
    </row>
  </sheetData>
  <autoFilter ref="A3:C3"/>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40"/>
  <sheetViews>
    <sheetView showGridLines="0" workbookViewId="0">
      <pane ySplit="1" topLeftCell="A2" activePane="bottomLeft" state="frozen"/>
      <selection pane="bottomLeft" activeCell="A1" sqref="A1"/>
    </sheetView>
  </sheetViews>
  <sheetFormatPr baseColWidth="8" defaultRowHeight="15"/>
  <cols>
    <col width="12" customWidth="1" style="46" min="1" max="1"/>
    <col width="14" customWidth="1" style="46" min="2" max="2"/>
    <col width="22" customWidth="1" style="46" min="3" max="3"/>
    <col width="28" customWidth="1" style="46" min="4" max="4"/>
    <col width="38" customWidth="1" style="46" min="5" max="5"/>
    <col width="16" customWidth="1" style="46" min="6" max="6"/>
    <col width="16" customWidth="1" style="46" min="7" max="7"/>
    <col width="16" customWidth="1" style="46" min="8" max="8"/>
    <col width="16" customWidth="1" style="46" min="9" max="9"/>
    <col width="16" customWidth="1" style="46" min="10" max="10"/>
    <col width="16" customWidth="1" style="46" min="11" max="11"/>
    <col width="16" customWidth="1" style="46" min="12" max="12"/>
    <col width="64" customWidth="1" style="46" min="13" max="13"/>
    <col width="22" customWidth="1" style="46" min="14" max="14"/>
  </cols>
  <sheetData>
    <row r="1" ht="28" customHeight="1" s="46">
      <c r="A1" s="54" t="inlineStr">
        <is>
          <t>Mã nhập</t>
        </is>
      </c>
      <c r="B1" s="54" t="inlineStr">
        <is>
          <t>Ngày nhập</t>
        </is>
      </c>
      <c r="C1" s="54" t="inlineStr">
        <is>
          <t>Đối tác công nợ</t>
        </is>
      </c>
      <c r="D1" s="54" t="inlineStr">
        <is>
          <t>Người bán/nguồn gốc</t>
        </is>
      </c>
      <c r="E1" s="54" t="inlineStr">
        <is>
          <t>Tên hàng</t>
        </is>
      </c>
      <c r="F1" s="54" t="inlineStr">
        <is>
          <t>Loại</t>
        </is>
      </c>
      <c r="G1" s="54" t="inlineStr">
        <is>
          <t>Số lượng</t>
        </is>
      </c>
      <c r="H1" s="54" t="inlineStr">
        <is>
          <t>Đơn vị</t>
        </is>
      </c>
      <c r="I1" s="54" t="inlineStr">
        <is>
          <t>Đơn giá</t>
        </is>
      </c>
      <c r="J1" s="54" t="inlineStr">
        <is>
          <t>Thành tiền</t>
        </is>
      </c>
      <c r="K1" s="54" t="inlineStr">
        <is>
          <t>Đã nhận hàng</t>
        </is>
      </c>
      <c r="L1" s="54" t="inlineStr">
        <is>
          <t>Tính công nợ</t>
        </is>
      </c>
      <c r="M1" s="54" t="inlineStr">
        <is>
          <t>Ghi chú</t>
        </is>
      </c>
      <c r="N1" s="54" t="inlineStr">
        <is>
          <t>Dòng gốc</t>
        </is>
      </c>
    </row>
    <row r="2">
      <c r="A2" s="48" t="inlineStr">
        <is>
          <t>NH-0001</t>
        </is>
      </c>
      <c r="B2" s="48" t="inlineStr">
        <is>
          <t>07/05/2026</t>
        </is>
      </c>
      <c r="C2" s="48" t="inlineStr">
        <is>
          <t>Long</t>
        </is>
      </c>
      <c r="D2" s="48" t="inlineStr">
        <is>
          <t>Chốt công nợ</t>
        </is>
      </c>
      <c r="E2" s="48" t="inlineStr">
        <is>
          <t>Nợ tạm tính đến 07/05/2026</t>
        </is>
      </c>
      <c r="F2" s="48" t="inlineStr">
        <is>
          <t>Số dư chốt</t>
        </is>
      </c>
      <c r="G2" s="48" t="n">
        <v>1</v>
      </c>
      <c r="H2" s="48" t="inlineStr">
        <is>
          <t>lần</t>
        </is>
      </c>
      <c r="I2" s="53" t="n">
        <v>20230000</v>
      </c>
      <c r="J2" s="53" t="n">
        <v>20230000</v>
      </c>
      <c r="K2" s="48" t="inlineStr">
        <is>
          <t>Có</t>
        </is>
      </c>
      <c r="L2" s="48" t="inlineStr">
        <is>
          <t>Có</t>
        </is>
      </c>
      <c r="M2" s="48" t="inlineStr">
        <is>
          <t>Số dư do Minh Hồng chốt; các dòng mua cũ bên dưới giữ để đối chiếu nhưng không cộng đôi.</t>
        </is>
      </c>
      <c r="N2" s="48" t="inlineStr">
        <is>
          <t>Đơn hàng nhập từ long!A1</t>
        </is>
      </c>
    </row>
    <row r="3">
      <c r="A3" s="48" t="inlineStr">
        <is>
          <t>NH-0002</t>
        </is>
      </c>
      <c r="B3" s="58" t="n">
        <v>46150</v>
      </c>
      <c r="C3" s="48" t="inlineStr">
        <is>
          <t>Long</t>
        </is>
      </c>
      <c r="D3" s="48" t="inlineStr">
        <is>
          <t>Long</t>
        </is>
      </c>
      <c r="E3" s="48" t="inlineStr">
        <is>
          <t>300cell eve 25p</t>
        </is>
      </c>
      <c r="F3" s="48" t="inlineStr">
        <is>
          <t>Pin/cell</t>
        </is>
      </c>
      <c r="G3" s="48" t="n">
        <v>300</v>
      </c>
      <c r="H3" s="48" t="inlineStr">
        <is>
          <t>cell</t>
        </is>
      </c>
      <c r="I3" s="53" t="n">
        <v>24966.66666666667</v>
      </c>
      <c r="J3" s="53" t="n">
        <v>7490000</v>
      </c>
      <c r="K3" s="48" t="inlineStr">
        <is>
          <t>Có</t>
        </is>
      </c>
      <c r="L3" s="48" t="inlineStr">
        <is>
          <t>Có</t>
        </is>
      </c>
      <c r="M3" s="48" t="inlineStr">
        <is>
          <t>Phát sinh sau số dư chốt 07/05/2026. Sheet đang ghi 7.500.000 nhưng tổng chốt cho thấy phát sinh thực tế là 7.490.000.</t>
        </is>
      </c>
      <c r="N3" s="48" t="inlineStr">
        <is>
          <t>Đơn hàng nhập từ long!A2:B2</t>
        </is>
      </c>
    </row>
    <row r="4">
      <c r="A4" s="48" t="inlineStr">
        <is>
          <t>NH-0003</t>
        </is>
      </c>
      <c r="B4" s="48" t="inlineStr"/>
      <c r="C4" s="48" t="inlineStr">
        <is>
          <t>Long</t>
        </is>
      </c>
      <c r="D4" s="48" t="inlineStr">
        <is>
          <t>Shopee</t>
        </is>
      </c>
      <c r="E4" s="48" t="inlineStr">
        <is>
          <t>40 Khay cân 21700</t>
        </is>
      </c>
      <c r="F4" s="48" t="inlineStr">
        <is>
          <t>Vật tư/đồ nghề</t>
        </is>
      </c>
      <c r="G4" s="48" t="n">
        <v>40</v>
      </c>
      <c r="H4" s="48" t="inlineStr"/>
      <c r="I4" s="53" t="inlineStr"/>
      <c r="J4" s="53" t="n">
        <v>637700</v>
      </c>
      <c r="K4" s="48" t="inlineStr">
        <is>
          <t>Có</t>
        </is>
      </c>
      <c r="L4" s="48" t="inlineStr">
        <is>
          <t>Không</t>
        </is>
      </c>
      <c r="M4" s="48" t="inlineStr">
        <is>
          <t>SHOPEE (xem trong nhóm) | Đã gộp trong số dư chốt 07/05/2026</t>
        </is>
      </c>
      <c r="N4" s="48" t="inlineStr">
        <is>
          <t>Sheet1!A4:J4</t>
        </is>
      </c>
    </row>
    <row r="5">
      <c r="A5" s="48" t="inlineStr">
        <is>
          <t>NH-0004</t>
        </is>
      </c>
      <c r="B5" s="48" t="inlineStr"/>
      <c r="C5" s="48" t="inlineStr">
        <is>
          <t>Long</t>
        </is>
      </c>
      <c r="D5" s="48" t="inlineStr">
        <is>
          <t>Shopee</t>
        </is>
      </c>
      <c r="E5" s="48" t="inlineStr">
        <is>
          <t>50 Vôn kế bảng sạc đỏ + vàng</t>
        </is>
      </c>
      <c r="F5" s="48" t="inlineStr">
        <is>
          <t>Vật tư/đồ nghề</t>
        </is>
      </c>
      <c r="G5" s="48" t="n">
        <v>50</v>
      </c>
      <c r="H5" s="48" t="inlineStr"/>
      <c r="I5" s="53" t="inlineStr"/>
      <c r="J5" s="53" t="n">
        <v>595300</v>
      </c>
      <c r="K5" s="48" t="inlineStr">
        <is>
          <t>Có</t>
        </is>
      </c>
      <c r="L5" s="48" t="inlineStr">
        <is>
          <t>Không</t>
        </is>
      </c>
      <c r="M5" s="48" t="inlineStr">
        <is>
          <t>SHOPEE (xem trong nhóm) | Đã gộp trong số dư chốt 07/05/2026</t>
        </is>
      </c>
      <c r="N5" s="48" t="inlineStr">
        <is>
          <t>Sheet1!A5:J5</t>
        </is>
      </c>
    </row>
    <row r="6">
      <c r="A6" s="48" t="inlineStr">
        <is>
          <t>NH-0005</t>
        </is>
      </c>
      <c r="B6" s="48" t="inlineStr"/>
      <c r="C6" s="48" t="inlineStr">
        <is>
          <t>Long</t>
        </is>
      </c>
      <c r="D6" s="48" t="inlineStr"/>
      <c r="E6" s="48" t="inlineStr">
        <is>
          <t>Khay Cân bằng Hoàng Long</t>
        </is>
      </c>
      <c r="F6" s="48" t="inlineStr">
        <is>
          <t>Vật tư/đồ nghề</t>
        </is>
      </c>
      <c r="G6" s="48" t="inlineStr"/>
      <c r="H6" s="48" t="inlineStr"/>
      <c r="I6" s="53" t="inlineStr"/>
      <c r="J6" s="53" t="n">
        <v>5090000</v>
      </c>
      <c r="K6" s="48" t="inlineStr">
        <is>
          <t>Có</t>
        </is>
      </c>
      <c r="L6" s="48" t="inlineStr">
        <is>
          <t>Không</t>
        </is>
      </c>
      <c r="M6" s="48" t="inlineStr">
        <is>
          <t>Hóa đơn trong nhóm | Đã gộp trong số dư chốt 07/05/2026</t>
        </is>
      </c>
      <c r="N6" s="48" t="inlineStr">
        <is>
          <t>Sheet1!A6:J6</t>
        </is>
      </c>
    </row>
    <row r="7">
      <c r="A7" s="48" t="inlineStr">
        <is>
          <t>NH-0006</t>
        </is>
      </c>
      <c r="B7" s="48" t="inlineStr"/>
      <c r="C7" s="48" t="inlineStr">
        <is>
          <t>Long</t>
        </is>
      </c>
      <c r="D7" s="48" t="inlineStr"/>
      <c r="E7" s="48" t="inlineStr">
        <is>
          <t>Công tắc Led (2 đợt)</t>
        </is>
      </c>
      <c r="F7" s="48" t="inlineStr">
        <is>
          <t>Vật tư/đồ nghề</t>
        </is>
      </c>
      <c r="G7" s="48" t="n">
        <v>16</v>
      </c>
      <c r="H7" s="48" t="inlineStr"/>
      <c r="I7" s="53" t="n">
        <v>20000</v>
      </c>
      <c r="J7" s="53" t="n">
        <v>320000</v>
      </c>
      <c r="K7" s="48" t="inlineStr">
        <is>
          <t>Có</t>
        </is>
      </c>
      <c r="L7" s="48" t="inlineStr">
        <is>
          <t>Không</t>
        </is>
      </c>
      <c r="M7" s="48" t="inlineStr">
        <is>
          <t>Hóa đơn trong nhóm | Đã gộp trong số dư chốt 07/05/2026</t>
        </is>
      </c>
      <c r="N7" s="48" t="inlineStr">
        <is>
          <t>Sheet1!A7:J7</t>
        </is>
      </c>
    </row>
    <row r="8">
      <c r="A8" s="48" t="inlineStr">
        <is>
          <t>NH-0007</t>
        </is>
      </c>
      <c r="B8" s="48" t="inlineStr"/>
      <c r="C8" s="48" t="inlineStr">
        <is>
          <t>Long</t>
        </is>
      </c>
      <c r="D8" s="48" t="inlineStr"/>
      <c r="E8" s="48" t="inlineStr">
        <is>
          <t>Cắt ván + dán chỉ (chỗ Hựu)</t>
        </is>
      </c>
      <c r="F8" s="48" t="inlineStr">
        <is>
          <t>Vật tư/đồ nghề</t>
        </is>
      </c>
      <c r="G8" s="48" t="inlineStr"/>
      <c r="H8" s="48" t="inlineStr"/>
      <c r="I8" s="53" t="inlineStr"/>
      <c r="J8" s="53" t="n">
        <v>300000</v>
      </c>
      <c r="K8" s="48" t="inlineStr">
        <is>
          <t>Có</t>
        </is>
      </c>
      <c r="L8" s="48" t="inlineStr">
        <is>
          <t>Không</t>
        </is>
      </c>
      <c r="M8" s="48" t="inlineStr">
        <is>
          <t>Hóa đơn trong nhóm | Đã gộp trong số dư chốt 07/05/2026</t>
        </is>
      </c>
      <c r="N8" s="48" t="inlineStr">
        <is>
          <t>Sheet1!A8:J8</t>
        </is>
      </c>
    </row>
    <row r="9">
      <c r="A9" s="48" t="inlineStr">
        <is>
          <t>NH-0008</t>
        </is>
      </c>
      <c r="B9" s="48" t="inlineStr"/>
      <c r="C9" s="48" t="inlineStr">
        <is>
          <t>Long</t>
        </is>
      </c>
      <c r="D9" s="48" t="inlineStr"/>
      <c r="E9" s="48" t="inlineStr">
        <is>
          <t>Nguồn 5V cũ</t>
        </is>
      </c>
      <c r="F9" s="48" t="inlineStr">
        <is>
          <t>Vật tư/đồ nghề</t>
        </is>
      </c>
      <c r="G9" s="48" t="n">
        <v>2</v>
      </c>
      <c r="H9" s="48" t="inlineStr"/>
      <c r="I9" s="53" t="n">
        <v>80000</v>
      </c>
      <c r="J9" s="53" t="n">
        <v>160000</v>
      </c>
      <c r="K9" s="48" t="inlineStr">
        <is>
          <t>Có</t>
        </is>
      </c>
      <c r="L9" s="48" t="inlineStr">
        <is>
          <t>Không</t>
        </is>
      </c>
      <c r="M9" s="48" t="inlineStr">
        <is>
          <t>Hóa đơn trong nhóm | Đã gộp trong số dư chốt 07/05/2026</t>
        </is>
      </c>
      <c r="N9" s="48" t="inlineStr">
        <is>
          <t>Sheet1!A9:J9</t>
        </is>
      </c>
    </row>
    <row r="10">
      <c r="A10" s="48" t="inlineStr">
        <is>
          <t>NH-0009</t>
        </is>
      </c>
      <c r="B10" s="48" t="inlineStr"/>
      <c r="C10" s="48" t="inlineStr">
        <is>
          <t>Long</t>
        </is>
      </c>
      <c r="D10" s="48" t="inlineStr"/>
      <c r="E10" s="48" t="inlineStr">
        <is>
          <t>Nguồn 5V 60A new tốt</t>
        </is>
      </c>
      <c r="F10" s="48" t="inlineStr">
        <is>
          <t>Vật tư/đồ nghề</t>
        </is>
      </c>
      <c r="G10" s="48" t="n">
        <v>2</v>
      </c>
      <c r="H10" s="48" t="inlineStr"/>
      <c r="I10" s="53" t="n">
        <v>235000</v>
      </c>
      <c r="J10" s="53" t="n">
        <v>470000</v>
      </c>
      <c r="K10" s="48" t="inlineStr">
        <is>
          <t>Có</t>
        </is>
      </c>
      <c r="L10" s="48" t="inlineStr">
        <is>
          <t>Không</t>
        </is>
      </c>
      <c r="M10" s="48" t="inlineStr">
        <is>
          <t>Hóa đơn trong nhóm | Đã gộp trong số dư chốt 07/05/2026</t>
        </is>
      </c>
      <c r="N10" s="48" t="inlineStr">
        <is>
          <t>Sheet1!A10:J10</t>
        </is>
      </c>
    </row>
    <row r="11">
      <c r="A11" s="48" t="inlineStr">
        <is>
          <t>NH-0010</t>
        </is>
      </c>
      <c r="B11" s="48" t="inlineStr"/>
      <c r="C11" s="48" t="inlineStr">
        <is>
          <t>Long</t>
        </is>
      </c>
      <c r="D11" s="48" t="inlineStr"/>
      <c r="E11" s="48" t="inlineStr">
        <is>
          <t>Linh kiện - Vật tư nhập về làm</t>
        </is>
      </c>
      <c r="F11" s="48" t="inlineStr">
        <is>
          <t>Vật tư/đồ nghề</t>
        </is>
      </c>
      <c r="G11" s="48" t="inlineStr"/>
      <c r="H11" s="48" t="inlineStr"/>
      <c r="I11" s="53" t="inlineStr"/>
      <c r="J11" s="53" t="n">
        <v>3352000</v>
      </c>
      <c r="K11" s="48" t="inlineStr">
        <is>
          <t>Có</t>
        </is>
      </c>
      <c r="L11" s="48" t="inlineStr">
        <is>
          <t>Không</t>
        </is>
      </c>
      <c r="M11" s="48" t="inlineStr">
        <is>
          <t>Hóa đơn trong nhóm (ngày 4/9) | Đã gộp trong số dư chốt 07/05/2026</t>
        </is>
      </c>
      <c r="N11" s="48" t="inlineStr">
        <is>
          <t>Sheet1!A11:J11</t>
        </is>
      </c>
    </row>
    <row r="12">
      <c r="A12" s="48" t="inlineStr">
        <is>
          <t>NH-0011</t>
        </is>
      </c>
      <c r="B12" s="48" t="inlineStr"/>
      <c r="C12" s="48" t="inlineStr">
        <is>
          <t>Long</t>
        </is>
      </c>
      <c r="D12" s="48" t="inlineStr">
        <is>
          <t>Trần Viết Cường</t>
        </is>
      </c>
      <c r="E12" s="48" t="inlineStr">
        <is>
          <t>Máy test nội trở + đế + que đo</t>
        </is>
      </c>
      <c r="F12" s="48" t="inlineStr">
        <is>
          <t>Vật tư/đồ nghề</t>
        </is>
      </c>
      <c r="G12" s="48" t="inlineStr"/>
      <c r="H12" s="48" t="inlineStr"/>
      <c r="I12" s="53" t="inlineStr"/>
      <c r="J12" s="53" t="n">
        <v>800000</v>
      </c>
      <c r="K12" s="48" t="inlineStr">
        <is>
          <t>Có</t>
        </is>
      </c>
      <c r="L12" s="48" t="inlineStr">
        <is>
          <t>Không</t>
        </is>
      </c>
      <c r="M12" s="48" t="inlineStr">
        <is>
          <t>Hóa đơn trong nhóm | Đã gộp trong số dư chốt 07/05/2026</t>
        </is>
      </c>
      <c r="N12" s="48" t="inlineStr">
        <is>
          <t>Sheet1!A12:J12</t>
        </is>
      </c>
    </row>
    <row r="13">
      <c r="A13" s="48" t="inlineStr">
        <is>
          <t>NH-0012</t>
        </is>
      </c>
      <c r="B13" s="48" t="inlineStr"/>
      <c r="C13" s="48" t="inlineStr">
        <is>
          <t>Long</t>
        </is>
      </c>
      <c r="D13" s="48" t="inlineStr">
        <is>
          <t>a Tâm</t>
        </is>
      </c>
      <c r="E13" s="48" t="inlineStr">
        <is>
          <t>Máy hàn cell pin</t>
        </is>
      </c>
      <c r="F13" s="48" t="inlineStr">
        <is>
          <t>Vật tư/đồ nghề</t>
        </is>
      </c>
      <c r="G13" s="48" t="n">
        <v>1</v>
      </c>
      <c r="H13" s="48" t="inlineStr"/>
      <c r="I13" s="53" t="n">
        <v>1</v>
      </c>
      <c r="J13" s="53" t="n">
        <v>8500000</v>
      </c>
      <c r="K13" s="48" t="inlineStr">
        <is>
          <t>Có</t>
        </is>
      </c>
      <c r="L13" s="48" t="inlineStr">
        <is>
          <t>Không</t>
        </is>
      </c>
      <c r="M13" s="48" t="inlineStr">
        <is>
          <t>Đã tạm ứng 7,000,000 | Đã gộp trong số dư chốt 07/05/2026</t>
        </is>
      </c>
      <c r="N13" s="48" t="inlineStr">
        <is>
          <t>Sheet1!A13:J13</t>
        </is>
      </c>
    </row>
    <row r="14">
      <c r="A14" s="48" t="inlineStr">
        <is>
          <t>NH-0013</t>
        </is>
      </c>
      <c r="B14" s="48" t="inlineStr"/>
      <c r="C14" s="48" t="inlineStr">
        <is>
          <t>Long</t>
        </is>
      </c>
      <c r="D14" s="48" t="inlineStr">
        <is>
          <t>a Tâm</t>
        </is>
      </c>
      <c r="E14" s="48" t="inlineStr">
        <is>
          <t>Máy  gọt cell pin</t>
        </is>
      </c>
      <c r="F14" s="48" t="inlineStr">
        <is>
          <t>Vật tư/đồ nghề</t>
        </is>
      </c>
      <c r="G14" s="48" t="n">
        <v>1</v>
      </c>
      <c r="H14" s="48" t="inlineStr"/>
      <c r="I14" s="53" t="inlineStr"/>
      <c r="J14" s="53" t="n">
        <v>2200000</v>
      </c>
      <c r="K14" s="48" t="inlineStr">
        <is>
          <t>Có</t>
        </is>
      </c>
      <c r="L14" s="48" t="inlineStr">
        <is>
          <t>Không</t>
        </is>
      </c>
      <c r="M14" s="48" t="inlineStr">
        <is>
          <t>Đã gộp trong số dư chốt 07/05/2026</t>
        </is>
      </c>
      <c r="N14" s="48" t="inlineStr">
        <is>
          <t>Sheet1!A14:J14</t>
        </is>
      </c>
    </row>
    <row r="15">
      <c r="A15" s="48" t="inlineStr">
        <is>
          <t>NH-0014</t>
        </is>
      </c>
      <c r="B15" s="48" t="inlineStr"/>
      <c r="C15" s="48" t="inlineStr">
        <is>
          <t>Long</t>
        </is>
      </c>
      <c r="D15" s="48" t="inlineStr">
        <is>
          <t>Điện tử Lào Cai</t>
        </is>
      </c>
      <c r="E15" s="48" t="inlineStr">
        <is>
          <t>Bộ test công suất + chống chập</t>
        </is>
      </c>
      <c r="F15" s="48" t="inlineStr">
        <is>
          <t>Vật tư/đồ nghề</t>
        </is>
      </c>
      <c r="G15" s="48" t="n">
        <v>1</v>
      </c>
      <c r="H15" s="48" t="inlineStr"/>
      <c r="I15" s="53" t="inlineStr"/>
      <c r="J15" s="53" t="n">
        <v>500000</v>
      </c>
      <c r="K15" s="48" t="inlineStr">
        <is>
          <t>Có</t>
        </is>
      </c>
      <c r="L15" s="48" t="inlineStr">
        <is>
          <t>Không</t>
        </is>
      </c>
      <c r="M15" s="48" t="inlineStr">
        <is>
          <t>Đã gộp trong số dư chốt 07/05/2026</t>
        </is>
      </c>
      <c r="N15" s="48" t="inlineStr">
        <is>
          <t>Sheet1!A15:J15</t>
        </is>
      </c>
    </row>
    <row r="16">
      <c r="A16" s="48" t="inlineStr">
        <is>
          <t>NH-0015</t>
        </is>
      </c>
      <c r="B16" s="48" t="inlineStr"/>
      <c r="C16" s="48" t="inlineStr">
        <is>
          <t>Long</t>
        </is>
      </c>
      <c r="D16" s="48" t="inlineStr">
        <is>
          <t>Dương Mạnh Ninh</t>
        </is>
      </c>
      <c r="E16" s="48" t="inlineStr">
        <is>
          <t>Máy cấp nguồn 120V 25A</t>
        </is>
      </c>
      <c r="F16" s="48" t="inlineStr">
        <is>
          <t>Vật tư/đồ nghề</t>
        </is>
      </c>
      <c r="G16" s="48" t="n">
        <v>1</v>
      </c>
      <c r="H16" s="48" t="inlineStr"/>
      <c r="I16" s="53" t="inlineStr"/>
      <c r="J16" s="53" t="n">
        <v>2800000</v>
      </c>
      <c r="K16" s="48" t="inlineStr">
        <is>
          <t>Có</t>
        </is>
      </c>
      <c r="L16" s="48" t="inlineStr">
        <is>
          <t>Không</t>
        </is>
      </c>
      <c r="M16" s="48" t="inlineStr">
        <is>
          <t>Đã gộp trong số dư chốt 07/05/2026</t>
        </is>
      </c>
      <c r="N16" s="48" t="inlineStr">
        <is>
          <t>Sheet1!A16:J16</t>
        </is>
      </c>
    </row>
    <row r="17">
      <c r="A17" s="48" t="inlineStr">
        <is>
          <t>NH-0016</t>
        </is>
      </c>
      <c r="B17" s="48" t="inlineStr"/>
      <c r="C17" s="48" t="inlineStr">
        <is>
          <t>Long</t>
        </is>
      </c>
      <c r="D17" s="48" t="inlineStr">
        <is>
          <t>Nguyễn Thành</t>
        </is>
      </c>
      <c r="E17" s="48" t="inlineStr">
        <is>
          <t>Bảng sạc pin</t>
        </is>
      </c>
      <c r="F17" s="48" t="inlineStr">
        <is>
          <t>Vật tư/đồ nghề</t>
        </is>
      </c>
      <c r="G17" s="48" t="n">
        <v>1</v>
      </c>
      <c r="H17" s="48" t="inlineStr"/>
      <c r="I17" s="53" t="inlineStr"/>
      <c r="J17" s="53" t="n">
        <v>3200000</v>
      </c>
      <c r="K17" s="48" t="inlineStr">
        <is>
          <t>Có</t>
        </is>
      </c>
      <c r="L17" s="48" t="inlineStr">
        <is>
          <t>Không</t>
        </is>
      </c>
      <c r="M17" s="48" t="inlineStr">
        <is>
          <t>combo 5 bảng+tiền tk+VAT+ ship | Đã gộp trong số dư chốt 07/05/2026</t>
        </is>
      </c>
      <c r="N17" s="48" t="inlineStr">
        <is>
          <t>Sheet1!A17:J17</t>
        </is>
      </c>
    </row>
    <row r="18">
      <c r="A18" s="48" t="inlineStr">
        <is>
          <t>NH-0017</t>
        </is>
      </c>
      <c r="B18" s="48" t="inlineStr"/>
      <c r="C18" s="48" t="inlineStr">
        <is>
          <t>Long</t>
        </is>
      </c>
      <c r="D18" s="48" t="inlineStr">
        <is>
          <t>Shopee</t>
        </is>
      </c>
      <c r="E18" s="48" t="inlineStr">
        <is>
          <t>Mạch test dung lượng + trở sứ</t>
        </is>
      </c>
      <c r="F18" s="48" t="inlineStr">
        <is>
          <t>Vật tư/đồ nghề</t>
        </is>
      </c>
      <c r="G18" s="48" t="n">
        <v>25</v>
      </c>
      <c r="H18" s="48" t="inlineStr"/>
      <c r="I18" s="53" t="inlineStr"/>
      <c r="J18" s="53" t="n">
        <v>812500</v>
      </c>
      <c r="K18" s="48" t="inlineStr">
        <is>
          <t>Có</t>
        </is>
      </c>
      <c r="L18" s="48" t="inlineStr">
        <is>
          <t>Không</t>
        </is>
      </c>
      <c r="M18" s="48" t="inlineStr">
        <is>
          <t>SHOPEE (xem trong nhóm) | Đã gộp trong số dư chốt 07/05/2026</t>
        </is>
      </c>
      <c r="N18" s="48" t="inlineStr">
        <is>
          <t>Sheet1!A18:J18</t>
        </is>
      </c>
    </row>
    <row r="19">
      <c r="A19" s="48" t="inlineStr">
        <is>
          <t>NH-0018</t>
        </is>
      </c>
      <c r="B19" s="48" t="inlineStr"/>
      <c r="C19" s="48" t="inlineStr">
        <is>
          <t>Long</t>
        </is>
      </c>
      <c r="D19" s="48" t="inlineStr">
        <is>
          <t>Shopee</t>
        </is>
      </c>
      <c r="E19" s="48" t="inlineStr">
        <is>
          <t>Mạch test dung lượng + trở sứ</t>
        </is>
      </c>
      <c r="F19" s="48" t="inlineStr">
        <is>
          <t>Vật tư/đồ nghề</t>
        </is>
      </c>
      <c r="G19" s="48" t="n">
        <v>20</v>
      </c>
      <c r="H19" s="48" t="inlineStr"/>
      <c r="I19" s="53" t="inlineStr"/>
      <c r="J19" s="53" t="n">
        <v>653000</v>
      </c>
      <c r="K19" s="48" t="inlineStr">
        <is>
          <t>Có</t>
        </is>
      </c>
      <c r="L19" s="48" t="inlineStr">
        <is>
          <t>Không</t>
        </is>
      </c>
      <c r="M19" s="48" t="inlineStr">
        <is>
          <t>SHOPEE (xem trong nhóm) | Đã gộp trong số dư chốt 07/05/2026</t>
        </is>
      </c>
      <c r="N19" s="48" t="inlineStr">
        <is>
          <t>Sheet1!A19:J19</t>
        </is>
      </c>
    </row>
    <row r="20">
      <c r="A20" s="48" t="inlineStr">
        <is>
          <t>NH-0019</t>
        </is>
      </c>
      <c r="B20" s="48" t="inlineStr"/>
      <c r="C20" s="48" t="inlineStr">
        <is>
          <t>Long</t>
        </is>
      </c>
      <c r="D20" s="48" t="inlineStr"/>
      <c r="E20" s="48" t="inlineStr">
        <is>
          <t>Máy mài MKT TQ</t>
        </is>
      </c>
      <c r="F20" s="48" t="inlineStr">
        <is>
          <t>Vật tư/đồ nghề</t>
        </is>
      </c>
      <c r="G20" s="48" t="n">
        <v>1</v>
      </c>
      <c r="H20" s="48" t="inlineStr"/>
      <c r="I20" s="53" t="inlineStr"/>
      <c r="J20" s="53" t="n">
        <v>350000</v>
      </c>
      <c r="K20" s="48" t="inlineStr">
        <is>
          <t>Có</t>
        </is>
      </c>
      <c r="L20" s="48" t="inlineStr">
        <is>
          <t>Không</t>
        </is>
      </c>
      <c r="M20" s="48" t="inlineStr">
        <is>
          <t>xe Thanh đem về | Đã gộp trong số dư chốt 07/05/2026</t>
        </is>
      </c>
      <c r="N20" s="48" t="inlineStr">
        <is>
          <t>Sheet1!A20:J20</t>
        </is>
      </c>
    </row>
    <row r="21">
      <c r="A21" s="48" t="inlineStr">
        <is>
          <t>NH-0020</t>
        </is>
      </c>
      <c r="B21" s="48" t="inlineStr"/>
      <c r="C21" s="48" t="inlineStr">
        <is>
          <t>Long</t>
        </is>
      </c>
      <c r="D21" s="48" t="inlineStr"/>
      <c r="E21" s="48" t="inlineStr">
        <is>
          <t>Khoan 3CN starker 10mm đỏ</t>
        </is>
      </c>
      <c r="F21" s="48" t="inlineStr">
        <is>
          <t>Vật tư/đồ nghề</t>
        </is>
      </c>
      <c r="G21" s="48" t="n">
        <v>1</v>
      </c>
      <c r="H21" s="48" t="inlineStr"/>
      <c r="I21" s="53" t="inlineStr"/>
      <c r="J21" s="53" t="n">
        <v>260000</v>
      </c>
      <c r="K21" s="48" t="inlineStr">
        <is>
          <t>Có</t>
        </is>
      </c>
      <c r="L21" s="48" t="inlineStr">
        <is>
          <t>Không</t>
        </is>
      </c>
      <c r="M21" s="48" t="inlineStr">
        <is>
          <t>xe Thanh đem về | Đã gộp trong số dư chốt 07/05/2026</t>
        </is>
      </c>
      <c r="N21" s="48" t="inlineStr">
        <is>
          <t>Sheet1!A21:J21</t>
        </is>
      </c>
    </row>
    <row r="22">
      <c r="A22" s="48" t="inlineStr">
        <is>
          <t>NH-0021</t>
        </is>
      </c>
      <c r="B22" s="48" t="inlineStr"/>
      <c r="C22" s="48" t="inlineStr">
        <is>
          <t>Long</t>
        </is>
      </c>
      <c r="D22" s="48" t="inlineStr"/>
      <c r="E22" s="48" t="inlineStr">
        <is>
          <t>Bulong mkt TQ xám</t>
        </is>
      </c>
      <c r="F22" s="48" t="inlineStr">
        <is>
          <t>Vật tư/đồ nghề</t>
        </is>
      </c>
      <c r="G22" s="48" t="n">
        <v>1</v>
      </c>
      <c r="H22" s="48" t="inlineStr"/>
      <c r="I22" s="53" t="inlineStr"/>
      <c r="J22" s="53" t="n">
        <v>240000</v>
      </c>
      <c r="K22" s="48" t="inlineStr">
        <is>
          <t>Có</t>
        </is>
      </c>
      <c r="L22" s="48" t="inlineStr">
        <is>
          <t>Không</t>
        </is>
      </c>
      <c r="M22" s="48" t="inlineStr">
        <is>
          <t>xe Thanh đem về | Đã gộp trong số dư chốt 07/05/2026</t>
        </is>
      </c>
      <c r="N22" s="48" t="inlineStr">
        <is>
          <t>Sheet1!A22:J22</t>
        </is>
      </c>
    </row>
    <row r="23">
      <c r="A23" s="48" t="inlineStr">
        <is>
          <t>NH-0022</t>
        </is>
      </c>
      <c r="B23" s="48" t="inlineStr"/>
      <c r="C23" s="48" t="inlineStr">
        <is>
          <t>Long</t>
        </is>
      </c>
      <c r="D23" s="48" t="inlineStr"/>
      <c r="E23" s="48" t="inlineStr">
        <is>
          <t>Vít 173 tq xanh</t>
        </is>
      </c>
      <c r="F23" s="48" t="inlineStr">
        <is>
          <t>Vật tư/đồ nghề</t>
        </is>
      </c>
      <c r="G23" s="48" t="n">
        <v>1</v>
      </c>
      <c r="H23" s="48" t="inlineStr"/>
      <c r="I23" s="53" t="inlineStr"/>
      <c r="J23" s="53" t="n">
        <v>420000</v>
      </c>
      <c r="K23" s="48" t="inlineStr">
        <is>
          <t>Có</t>
        </is>
      </c>
      <c r="L23" s="48" t="inlineStr">
        <is>
          <t>Không</t>
        </is>
      </c>
      <c r="M23" s="48" t="inlineStr">
        <is>
          <t>xe Thanh đem về | Đã gộp trong số dư chốt 07/05/2026</t>
        </is>
      </c>
      <c r="N23" s="48" t="inlineStr">
        <is>
          <t>Sheet1!A23:J23</t>
        </is>
      </c>
    </row>
    <row r="24">
      <c r="A24" s="48" t="inlineStr">
        <is>
          <t>NH-0023</t>
        </is>
      </c>
      <c r="B24" s="48" t="inlineStr"/>
      <c r="C24" s="48" t="inlineStr">
        <is>
          <t>Long</t>
        </is>
      </c>
      <c r="D24" s="48" t="inlineStr"/>
      <c r="E24" s="48" t="inlineStr">
        <is>
          <t>Khoan 13mm YMS xanh</t>
        </is>
      </c>
      <c r="F24" s="48" t="inlineStr">
        <is>
          <t>Vật tư/đồ nghề</t>
        </is>
      </c>
      <c r="G24" s="48" t="n">
        <v>1</v>
      </c>
      <c r="H24" s="48" t="inlineStr"/>
      <c r="I24" s="53" t="inlineStr"/>
      <c r="J24" s="53" t="n">
        <v>800000</v>
      </c>
      <c r="K24" s="48" t="inlineStr">
        <is>
          <t>Có</t>
        </is>
      </c>
      <c r="L24" s="48" t="inlineStr">
        <is>
          <t>Không</t>
        </is>
      </c>
      <c r="M24" s="48" t="inlineStr">
        <is>
          <t>xe Thanh đem về | Đã gộp trong số dư chốt 07/05/2026</t>
        </is>
      </c>
      <c r="N24" s="48" t="inlineStr">
        <is>
          <t>Sheet1!A24:J24</t>
        </is>
      </c>
    </row>
    <row r="25">
      <c r="A25" s="48" t="inlineStr">
        <is>
          <t>NH-0024</t>
        </is>
      </c>
      <c r="B25" s="48" t="inlineStr"/>
      <c r="C25" s="48" t="inlineStr">
        <is>
          <t>Long</t>
        </is>
      </c>
      <c r="D25" s="48" t="inlineStr"/>
      <c r="E25" s="48" t="inlineStr">
        <is>
          <t>Đèn led nhỏ</t>
        </is>
      </c>
      <c r="F25" s="48" t="inlineStr">
        <is>
          <t>Vật tư/đồ nghề</t>
        </is>
      </c>
      <c r="G25" s="48" t="n">
        <v>1</v>
      </c>
      <c r="H25" s="48" t="inlineStr"/>
      <c r="I25" s="53" t="inlineStr"/>
      <c r="J25" s="53" t="n">
        <v>100000</v>
      </c>
      <c r="K25" s="48" t="inlineStr">
        <is>
          <t>Có</t>
        </is>
      </c>
      <c r="L25" s="48" t="inlineStr">
        <is>
          <t>Không</t>
        </is>
      </c>
      <c r="M25" s="48" t="inlineStr">
        <is>
          <t>xe Thanh đem về | Đã gộp trong số dư chốt 07/05/2026</t>
        </is>
      </c>
      <c r="N25" s="48" t="inlineStr">
        <is>
          <t>Sheet1!A25:J25</t>
        </is>
      </c>
    </row>
    <row r="26">
      <c r="A26" s="48" t="inlineStr">
        <is>
          <t>NH-0025</t>
        </is>
      </c>
      <c r="B26" s="48" t="inlineStr"/>
      <c r="C26" s="48" t="inlineStr">
        <is>
          <t>Long</t>
        </is>
      </c>
      <c r="D26" s="48" t="inlineStr"/>
      <c r="E26" s="48" t="inlineStr">
        <is>
          <t>Quạt  lồg sắt</t>
        </is>
      </c>
      <c r="F26" s="48" t="inlineStr">
        <is>
          <t>Vật tư/đồ nghề</t>
        </is>
      </c>
      <c r="G26" s="48" t="n">
        <v>1</v>
      </c>
      <c r="H26" s="48" t="inlineStr"/>
      <c r="I26" s="53" t="inlineStr"/>
      <c r="J26" s="53" t="n">
        <v>115000</v>
      </c>
      <c r="K26" s="48" t="inlineStr">
        <is>
          <t>Có</t>
        </is>
      </c>
      <c r="L26" s="48" t="inlineStr">
        <is>
          <t>Không</t>
        </is>
      </c>
      <c r="M26" s="48" t="inlineStr">
        <is>
          <t>xe Thanh đem về | Đã gộp trong số dư chốt 07/05/2026</t>
        </is>
      </c>
      <c r="N26" s="48" t="inlineStr">
        <is>
          <t>Sheet1!A26:J26</t>
        </is>
      </c>
    </row>
    <row r="27">
      <c r="A27" s="48" t="inlineStr">
        <is>
          <t>NH-0026</t>
        </is>
      </c>
      <c r="B27" s="48" t="inlineStr"/>
      <c r="C27" s="48" t="inlineStr">
        <is>
          <t>Long</t>
        </is>
      </c>
      <c r="D27" s="48" t="inlineStr"/>
      <c r="E27" s="48" t="inlineStr">
        <is>
          <t>Kích điện từ pin lên 220v</t>
        </is>
      </c>
      <c r="F27" s="48" t="inlineStr">
        <is>
          <t>Vật tư/đồ nghề</t>
        </is>
      </c>
      <c r="G27" s="48" t="n">
        <v>1</v>
      </c>
      <c r="H27" s="48" t="inlineStr"/>
      <c r="I27" s="53" t="inlineStr"/>
      <c r="J27" s="53" t="n">
        <v>250000</v>
      </c>
      <c r="K27" s="48" t="inlineStr">
        <is>
          <t>Có</t>
        </is>
      </c>
      <c r="L27" s="48" t="inlineStr">
        <is>
          <t>Không</t>
        </is>
      </c>
      <c r="M27" s="48" t="inlineStr">
        <is>
          <t>xe Thanh đem về | Đã gộp trong số dư chốt 07/05/2026</t>
        </is>
      </c>
      <c r="N27" s="48" t="inlineStr">
        <is>
          <t>Sheet1!A27:J27</t>
        </is>
      </c>
    </row>
    <row r="28">
      <c r="A28" s="48" t="inlineStr">
        <is>
          <t>NH-0027</t>
        </is>
      </c>
      <c r="B28" s="48" t="inlineStr"/>
      <c r="C28" s="48" t="inlineStr">
        <is>
          <t>Long</t>
        </is>
      </c>
      <c r="D28" s="48" t="inlineStr">
        <is>
          <t>Hiếu LK</t>
        </is>
      </c>
      <c r="E28" s="48" t="inlineStr">
        <is>
          <t>Thiếc hàng nhật 800g 0.8mm</t>
        </is>
      </c>
      <c r="F28" s="48" t="inlineStr">
        <is>
          <t>Vật tư/đồ nghề</t>
        </is>
      </c>
      <c r="G28" s="48" t="n">
        <v>1</v>
      </c>
      <c r="H28" s="48" t="inlineStr"/>
      <c r="I28" s="53" t="n">
        <v>580000</v>
      </c>
      <c r="J28" s="53" t="n">
        <v>580000</v>
      </c>
      <c r="K28" s="48" t="inlineStr">
        <is>
          <t>Có</t>
        </is>
      </c>
      <c r="L28" s="48" t="inlineStr">
        <is>
          <t>Không</t>
        </is>
      </c>
      <c r="M28" s="48" t="inlineStr">
        <is>
          <t>xe Thanh đem về | Đã gộp trong số dư chốt 07/05/2026</t>
        </is>
      </c>
      <c r="N28" s="48" t="inlineStr">
        <is>
          <t>Sheet1!A28:J28</t>
        </is>
      </c>
    </row>
    <row r="29">
      <c r="A29" s="48" t="inlineStr">
        <is>
          <t>NH-0028</t>
        </is>
      </c>
      <c r="B29" s="48" t="inlineStr"/>
      <c r="C29" s="48" t="inlineStr">
        <is>
          <t>Long</t>
        </is>
      </c>
      <c r="D29" s="48" t="inlineStr">
        <is>
          <t>Tuấn Mạnh AZ</t>
        </is>
      </c>
      <c r="E29" s="48" t="inlineStr">
        <is>
          <t>Bộ hộp pin xe điện (có khung+kẽm)</t>
        </is>
      </c>
      <c r="F29" s="48" t="inlineStr">
        <is>
          <t>Vật tư/đồ nghề</t>
        </is>
      </c>
      <c r="G29" s="48" t="n">
        <v>1</v>
      </c>
      <c r="H29" s="48" t="inlineStr"/>
      <c r="I29" s="53" t="inlineStr"/>
      <c r="J29" s="53" t="n">
        <v>160000</v>
      </c>
      <c r="K29" s="48" t="inlineStr">
        <is>
          <t>Có</t>
        </is>
      </c>
      <c r="L29" s="48" t="inlineStr">
        <is>
          <t>Không</t>
        </is>
      </c>
      <c r="M29" s="48" t="inlineStr">
        <is>
          <t>gửi xe Thanh chuyển xe bà Hà | Đã gộp trong số dư chốt 07/05/2026</t>
        </is>
      </c>
      <c r="N29" s="48" t="inlineStr">
        <is>
          <t>Sheet1!A29:J29</t>
        </is>
      </c>
    </row>
    <row r="30">
      <c r="A30" s="48" t="inlineStr">
        <is>
          <t>NH-0029</t>
        </is>
      </c>
      <c r="B30" s="48" t="inlineStr"/>
      <c r="C30" s="48" t="inlineStr">
        <is>
          <t>Long</t>
        </is>
      </c>
      <c r="D30" s="48" t="inlineStr"/>
      <c r="E30" s="48" t="inlineStr">
        <is>
          <t>Mạch pin 13/14s 40A</t>
        </is>
      </c>
      <c r="F30" s="48" t="inlineStr">
        <is>
          <t>Vật tư/đồ nghề</t>
        </is>
      </c>
      <c r="G30" s="48" t="n">
        <v>1</v>
      </c>
      <c r="H30" s="48" t="inlineStr"/>
      <c r="I30" s="53" t="inlineStr"/>
      <c r="J30" s="53" t="n">
        <v>160000</v>
      </c>
      <c r="K30" s="48" t="inlineStr">
        <is>
          <t>Có</t>
        </is>
      </c>
      <c r="L30" s="48" t="inlineStr">
        <is>
          <t>Không</t>
        </is>
      </c>
      <c r="M30" s="48" t="inlineStr">
        <is>
          <t>gửi xe Thanh chuyển xe bà Hà | Đã gộp trong số dư chốt 07/05/2026</t>
        </is>
      </c>
      <c r="N30" s="48" t="inlineStr">
        <is>
          <t>Sheet1!A30:J30</t>
        </is>
      </c>
    </row>
    <row r="31">
      <c r="A31" s="48" t="inlineStr">
        <is>
          <t>NH-0030</t>
        </is>
      </c>
      <c r="B31" s="48" t="inlineStr"/>
      <c r="C31" s="48" t="inlineStr">
        <is>
          <t>Long</t>
        </is>
      </c>
      <c r="D31" s="48" t="inlineStr"/>
      <c r="E31" s="48" t="inlineStr">
        <is>
          <t>Sạc 2s2A rẻ</t>
        </is>
      </c>
      <c r="F31" s="48" t="inlineStr">
        <is>
          <t>Vật tư/đồ nghề</t>
        </is>
      </c>
      <c r="G31" s="48" t="n">
        <v>2</v>
      </c>
      <c r="H31" s="48" t="inlineStr"/>
      <c r="I31" s="53" t="n">
        <v>30000</v>
      </c>
      <c r="J31" s="53" t="n">
        <v>60000</v>
      </c>
      <c r="K31" s="48" t="inlineStr">
        <is>
          <t>Có</t>
        </is>
      </c>
      <c r="L31" s="48" t="inlineStr">
        <is>
          <t>Không</t>
        </is>
      </c>
      <c r="M31" s="48" t="inlineStr">
        <is>
          <t>gửi xe Thanh chuyển xe bà Hà | Đã gộp trong số dư chốt 07/05/2026</t>
        </is>
      </c>
      <c r="N31" s="48" t="inlineStr">
        <is>
          <t>Sheet1!A31:J31</t>
        </is>
      </c>
    </row>
    <row r="32">
      <c r="A32" s="48" t="inlineStr">
        <is>
          <t>NH-0031</t>
        </is>
      </c>
      <c r="B32" s="48" t="inlineStr"/>
      <c r="C32" s="48" t="inlineStr">
        <is>
          <t>Long</t>
        </is>
      </c>
      <c r="D32" s="48" t="inlineStr"/>
      <c r="E32" s="48" t="inlineStr">
        <is>
          <t>sạc 3s2A rẻ</t>
        </is>
      </c>
      <c r="F32" s="48" t="inlineStr">
        <is>
          <t>Vật tư/đồ nghề</t>
        </is>
      </c>
      <c r="G32" s="48" t="n">
        <v>2</v>
      </c>
      <c r="H32" s="48" t="inlineStr"/>
      <c r="I32" s="53" t="n">
        <v>30000</v>
      </c>
      <c r="J32" s="53" t="n">
        <v>60000</v>
      </c>
      <c r="K32" s="48" t="inlineStr">
        <is>
          <t>Có</t>
        </is>
      </c>
      <c r="L32" s="48" t="inlineStr">
        <is>
          <t>Không</t>
        </is>
      </c>
      <c r="M32" s="48" t="inlineStr">
        <is>
          <t>gửi xe Thanh chuyển xe bà Hà | Đã gộp trong số dư chốt 07/05/2026</t>
        </is>
      </c>
      <c r="N32" s="48" t="inlineStr">
        <is>
          <t>Sheet1!A32:J32</t>
        </is>
      </c>
    </row>
    <row r="33">
      <c r="A33" s="48" t="inlineStr">
        <is>
          <t>NH-0032</t>
        </is>
      </c>
      <c r="B33" s="48" t="inlineStr"/>
      <c r="C33" s="48" t="inlineStr">
        <is>
          <t>Long</t>
        </is>
      </c>
      <c r="D33" s="48" t="inlineStr"/>
      <c r="E33" s="48" t="inlineStr">
        <is>
          <t>Sạc 3s2A thường</t>
        </is>
      </c>
      <c r="F33" s="48" t="inlineStr">
        <is>
          <t>Vật tư/đồ nghề</t>
        </is>
      </c>
      <c r="G33" s="48" t="n">
        <v>2</v>
      </c>
      <c r="H33" s="48" t="inlineStr"/>
      <c r="I33" s="53" t="n">
        <v>55000</v>
      </c>
      <c r="J33" s="53" t="n">
        <v>110000</v>
      </c>
      <c r="K33" s="48" t="inlineStr">
        <is>
          <t>Có</t>
        </is>
      </c>
      <c r="L33" s="48" t="inlineStr">
        <is>
          <t>Không</t>
        </is>
      </c>
      <c r="M33" s="48" t="inlineStr">
        <is>
          <t>gửi xe Thanh chuyển xe bà Hà | Đã gộp trong số dư chốt 07/05/2026</t>
        </is>
      </c>
      <c r="N33" s="48" t="inlineStr">
        <is>
          <t>Sheet1!A33:J33</t>
        </is>
      </c>
    </row>
    <row r="34">
      <c r="A34" s="48" t="inlineStr">
        <is>
          <t>NH-0033</t>
        </is>
      </c>
      <c r="B34" s="48" t="inlineStr"/>
      <c r="C34" s="48" t="inlineStr">
        <is>
          <t>Long</t>
        </is>
      </c>
      <c r="D34" s="48" t="inlineStr"/>
      <c r="E34" s="48" t="inlineStr">
        <is>
          <t>Sạc 4s2A thường</t>
        </is>
      </c>
      <c r="F34" s="48" t="inlineStr">
        <is>
          <t>Vật tư/đồ nghề</t>
        </is>
      </c>
      <c r="G34" s="48" t="n">
        <v>2</v>
      </c>
      <c r="H34" s="48" t="inlineStr"/>
      <c r="I34" s="53" t="n">
        <v>55000</v>
      </c>
      <c r="J34" s="53" t="n">
        <v>110000</v>
      </c>
      <c r="K34" s="48" t="inlineStr">
        <is>
          <t>Có</t>
        </is>
      </c>
      <c r="L34" s="48" t="inlineStr">
        <is>
          <t>Không</t>
        </is>
      </c>
      <c r="M34" s="48" t="inlineStr">
        <is>
          <t>gửi xe Thanh chuyển xe bà Hà | Đã gộp trong số dư chốt 07/05/2026</t>
        </is>
      </c>
      <c r="N34" s="48" t="inlineStr">
        <is>
          <t>Sheet1!A34:J34</t>
        </is>
      </c>
    </row>
    <row r="35">
      <c r="A35" s="48" t="inlineStr">
        <is>
          <t>NH-0034</t>
        </is>
      </c>
      <c r="B35" s="48" t="inlineStr"/>
      <c r="C35" s="48" t="inlineStr">
        <is>
          <t>Long</t>
        </is>
      </c>
      <c r="D35" s="48" t="inlineStr"/>
      <c r="E35" s="48" t="inlineStr">
        <is>
          <t>Sạc 5s2A rẻ</t>
        </is>
      </c>
      <c r="F35" s="48" t="inlineStr">
        <is>
          <t>Vật tư/đồ nghề</t>
        </is>
      </c>
      <c r="G35" s="48" t="n">
        <v>2</v>
      </c>
      <c r="H35" s="48" t="inlineStr"/>
      <c r="I35" s="53" t="n">
        <v>30000</v>
      </c>
      <c r="J35" s="53" t="n">
        <v>60000</v>
      </c>
      <c r="K35" s="48" t="inlineStr">
        <is>
          <t>Có</t>
        </is>
      </c>
      <c r="L35" s="48" t="inlineStr">
        <is>
          <t>Không</t>
        </is>
      </c>
      <c r="M35" s="48" t="inlineStr">
        <is>
          <t>gửi xe Thanh chuyển xe bà Hà | Đã gộp trong số dư chốt 07/05/2026</t>
        </is>
      </c>
      <c r="N35" s="48" t="inlineStr">
        <is>
          <t>Sheet1!A35:J35</t>
        </is>
      </c>
    </row>
    <row r="36">
      <c r="A36" s="48" t="inlineStr">
        <is>
          <t>NH-0035</t>
        </is>
      </c>
      <c r="B36" s="48" t="inlineStr"/>
      <c r="C36" s="48" t="inlineStr">
        <is>
          <t>Long</t>
        </is>
      </c>
      <c r="D36" s="48" t="inlineStr"/>
      <c r="E36" s="48" t="inlineStr">
        <is>
          <t>Sạc 5s2A thường</t>
        </is>
      </c>
      <c r="F36" s="48" t="inlineStr">
        <is>
          <t>Vật tư/đồ nghề</t>
        </is>
      </c>
      <c r="G36" s="48" t="n">
        <v>2</v>
      </c>
      <c r="H36" s="48" t="inlineStr"/>
      <c r="I36" s="53" t="n">
        <v>55000</v>
      </c>
      <c r="J36" s="53" t="n">
        <v>110000</v>
      </c>
      <c r="K36" s="48" t="inlineStr">
        <is>
          <t>Có</t>
        </is>
      </c>
      <c r="L36" s="48" t="inlineStr">
        <is>
          <t>Không</t>
        </is>
      </c>
      <c r="M36" s="48" t="inlineStr">
        <is>
          <t>gửi xe Thanh chuyển xe bà Hà | Đã gộp trong số dư chốt 07/05/2026</t>
        </is>
      </c>
      <c r="N36" s="48" t="inlineStr">
        <is>
          <t>Sheet1!A36:J36</t>
        </is>
      </c>
    </row>
    <row r="37">
      <c r="A37" s="48" t="inlineStr">
        <is>
          <t>NH-0036</t>
        </is>
      </c>
      <c r="B37" s="48" t="inlineStr"/>
      <c r="C37" s="48" t="inlineStr">
        <is>
          <t>Long</t>
        </is>
      </c>
      <c r="D37" s="48" t="inlineStr"/>
      <c r="E37" s="48" t="inlineStr">
        <is>
          <t>Sạc 5s3A có quạt</t>
        </is>
      </c>
      <c r="F37" s="48" t="inlineStr">
        <is>
          <t>Vật tư/đồ nghề</t>
        </is>
      </c>
      <c r="G37" s="48" t="n">
        <v>2</v>
      </c>
      <c r="H37" s="48" t="inlineStr"/>
      <c r="I37" s="53" t="n">
        <v>110000</v>
      </c>
      <c r="J37" s="53" t="n">
        <v>220000</v>
      </c>
      <c r="K37" s="48" t="inlineStr">
        <is>
          <t>Có</t>
        </is>
      </c>
      <c r="L37" s="48" t="inlineStr">
        <is>
          <t>Không</t>
        </is>
      </c>
      <c r="M37" s="48" t="inlineStr">
        <is>
          <t>gửi xe Thanh chuyển xe bà Hà | Đã gộp trong số dư chốt 07/05/2026</t>
        </is>
      </c>
      <c r="N37" s="48" t="inlineStr">
        <is>
          <t>Sheet1!A37:J37</t>
        </is>
      </c>
    </row>
    <row r="38">
      <c r="A38" s="48" t="inlineStr">
        <is>
          <t>NH-0037</t>
        </is>
      </c>
      <c r="B38" s="48" t="inlineStr"/>
      <c r="C38" s="48" t="inlineStr">
        <is>
          <t>Long</t>
        </is>
      </c>
      <c r="D38" s="48" t="inlineStr"/>
      <c r="E38" s="48" t="inlineStr">
        <is>
          <t>Jack Xt60</t>
        </is>
      </c>
      <c r="F38" s="48" t="inlineStr">
        <is>
          <t>Vật tư/đồ nghề</t>
        </is>
      </c>
      <c r="G38" s="48" t="n">
        <v>4</v>
      </c>
      <c r="H38" s="48" t="inlineStr"/>
      <c r="I38" s="53" t="n">
        <v>3500</v>
      </c>
      <c r="J38" s="53" t="n">
        <v>14000</v>
      </c>
      <c r="K38" s="48" t="inlineStr">
        <is>
          <t>Có</t>
        </is>
      </c>
      <c r="L38" s="48" t="inlineStr">
        <is>
          <t>Không</t>
        </is>
      </c>
      <c r="M38" s="48" t="inlineStr">
        <is>
          <t>gửi xe Thanh chuyển xe bà Hà | Đã gộp trong số dư chốt 07/05/2026</t>
        </is>
      </c>
      <c r="N38" s="48" t="inlineStr">
        <is>
          <t>Sheet1!A38:J38</t>
        </is>
      </c>
    </row>
    <row r="39">
      <c r="A39" s="48" t="inlineStr">
        <is>
          <t>NH-0038</t>
        </is>
      </c>
      <c r="B39" s="48" t="inlineStr"/>
      <c r="C39" s="48" t="inlineStr">
        <is>
          <t>Long</t>
        </is>
      </c>
      <c r="D39" s="48" t="inlineStr"/>
      <c r="E39" s="48" t="inlineStr">
        <is>
          <t>Đèn NLMT BC 200w</t>
        </is>
      </c>
      <c r="F39" s="48" t="inlineStr">
        <is>
          <t>Vật tư/đồ nghề</t>
        </is>
      </c>
      <c r="G39" s="48" t="n">
        <v>1</v>
      </c>
      <c r="H39" s="48" t="inlineStr"/>
      <c r="I39" s="53" t="inlineStr"/>
      <c r="J39" s="53" t="n">
        <v>700000</v>
      </c>
      <c r="K39" s="48" t="inlineStr">
        <is>
          <t>Có</t>
        </is>
      </c>
      <c r="L39" s="48" t="inlineStr">
        <is>
          <t>Không</t>
        </is>
      </c>
      <c r="M39" s="48" t="inlineStr">
        <is>
          <t>gửi xe Thanh chuyển xe bà Hà | Đã gộp trong số dư chốt 07/05/2026</t>
        </is>
      </c>
      <c r="N39" s="48" t="inlineStr">
        <is>
          <t>Sheet1!A39:J39</t>
        </is>
      </c>
    </row>
    <row r="40">
      <c r="A40" s="48" t="inlineStr">
        <is>
          <t>NH-0039</t>
        </is>
      </c>
      <c r="B40" s="48" t="inlineStr"/>
      <c r="C40" s="48" t="inlineStr">
        <is>
          <t>Long</t>
        </is>
      </c>
      <c r="D40" s="48" t="inlineStr"/>
      <c r="E40" s="48" t="inlineStr">
        <is>
          <t>Đèn NLMT pha 300w</t>
        </is>
      </c>
      <c r="F40" s="48" t="inlineStr">
        <is>
          <t>Vật tư/đồ nghề</t>
        </is>
      </c>
      <c r="G40" s="48" t="n">
        <v>1</v>
      </c>
      <c r="H40" s="48" t="inlineStr"/>
      <c r="I40" s="53" t="inlineStr"/>
      <c r="J40" s="53" t="n">
        <v>950000</v>
      </c>
      <c r="K40" s="48" t="inlineStr">
        <is>
          <t>Có</t>
        </is>
      </c>
      <c r="L40" s="48" t="inlineStr">
        <is>
          <t>Không</t>
        </is>
      </c>
      <c r="M40" s="48" t="inlineStr">
        <is>
          <t>gửi xe Thanh chuyển xe bà Hà | Đã gộp trong số dư chốt 07/05/2026</t>
        </is>
      </c>
      <c r="N40" s="48" t="inlineStr">
        <is>
          <t>Sheet1!A40:J40</t>
        </is>
      </c>
    </row>
    <row r="41">
      <c r="A41" s="48" t="inlineStr">
        <is>
          <t>NH-0040</t>
        </is>
      </c>
      <c r="B41" s="48" t="inlineStr"/>
      <c r="C41" s="48" t="inlineStr">
        <is>
          <t>Long</t>
        </is>
      </c>
      <c r="D41" s="48" t="inlineStr"/>
      <c r="E41" s="48" t="inlineStr">
        <is>
          <t>Đèn NLMT mắt ngọc 300W</t>
        </is>
      </c>
      <c r="F41" s="48" t="inlineStr">
        <is>
          <t>Vật tư/đồ nghề</t>
        </is>
      </c>
      <c r="G41" s="48" t="n">
        <v>1</v>
      </c>
      <c r="H41" s="48" t="inlineStr"/>
      <c r="I41" s="53" t="inlineStr"/>
      <c r="J41" s="53" t="n">
        <v>950000</v>
      </c>
      <c r="K41" s="48" t="inlineStr">
        <is>
          <t>Có</t>
        </is>
      </c>
      <c r="L41" s="48" t="inlineStr">
        <is>
          <t>Không</t>
        </is>
      </c>
      <c r="M41" s="48" t="inlineStr">
        <is>
          <t>gửi xe Thanh chuyển xe bà Hà | Đã gộp trong số dư chốt 07/05/2026</t>
        </is>
      </c>
      <c r="N41" s="48" t="inlineStr">
        <is>
          <t>Sheet1!A41:J41</t>
        </is>
      </c>
    </row>
    <row r="42">
      <c r="A42" s="48" t="inlineStr">
        <is>
          <t>NH-0041</t>
        </is>
      </c>
      <c r="B42" s="48" t="inlineStr"/>
      <c r="C42" s="48" t="inlineStr">
        <is>
          <t>Long</t>
        </is>
      </c>
      <c r="D42" s="48" t="inlineStr"/>
      <c r="E42" s="48" t="inlineStr">
        <is>
          <t>dây AWG 12</t>
        </is>
      </c>
      <c r="F42" s="48" t="inlineStr">
        <is>
          <t>Vật tư/đồ nghề</t>
        </is>
      </c>
      <c r="G42" s="48" t="n">
        <v>4</v>
      </c>
      <c r="H42" s="48" t="inlineStr"/>
      <c r="I42" s="53" t="inlineStr"/>
      <c r="J42" s="53" t="inlineStr"/>
      <c r="K42" s="48" t="inlineStr">
        <is>
          <t>Có</t>
        </is>
      </c>
      <c r="L42" s="48" t="inlineStr">
        <is>
          <t>Không</t>
        </is>
      </c>
      <c r="M42" s="48" t="inlineStr">
        <is>
          <t>gửi xe Thanh chuyển xe bà Hà | Đã gộp trong số dư chốt 07/05/2026</t>
        </is>
      </c>
      <c r="N42" s="48" t="inlineStr">
        <is>
          <t>Sheet1!A42:J42</t>
        </is>
      </c>
    </row>
    <row r="43">
      <c r="A43" s="48" t="inlineStr">
        <is>
          <t>NH-0042</t>
        </is>
      </c>
      <c r="B43" s="48" t="inlineStr"/>
      <c r="C43" s="48" t="inlineStr">
        <is>
          <t>Long</t>
        </is>
      </c>
      <c r="D43" s="48" t="inlineStr"/>
      <c r="E43" s="48" t="inlineStr">
        <is>
          <t>phím nhỏ</t>
        </is>
      </c>
      <c r="F43" s="48" t="inlineStr">
        <is>
          <t>Vật tư/đồ nghề</t>
        </is>
      </c>
      <c r="G43" s="48" t="n">
        <v>10</v>
      </c>
      <c r="H43" s="48" t="inlineStr"/>
      <c r="I43" s="53" t="n">
        <v>36000</v>
      </c>
      <c r="J43" s="53" t="n">
        <v>360000</v>
      </c>
      <c r="K43" s="48" t="inlineStr">
        <is>
          <t>Có</t>
        </is>
      </c>
      <c r="L43" s="48" t="inlineStr">
        <is>
          <t>Không</t>
        </is>
      </c>
      <c r="M43" s="48" t="inlineStr">
        <is>
          <t>Đã gộp trong số dư chốt 07/05/2026</t>
        </is>
      </c>
      <c r="N43" s="48" t="inlineStr">
        <is>
          <t>Sheet1!A45:J45</t>
        </is>
      </c>
    </row>
    <row r="44">
      <c r="A44" s="48" t="inlineStr">
        <is>
          <t>NH-0043</t>
        </is>
      </c>
      <c r="B44" s="48" t="inlineStr"/>
      <c r="C44" s="48" t="inlineStr">
        <is>
          <t>Long</t>
        </is>
      </c>
      <c r="D44" s="48" t="inlineStr"/>
      <c r="E44" s="48" t="inlineStr">
        <is>
          <t>1/2kg giấy 65mm</t>
        </is>
      </c>
      <c r="F44" s="48" t="inlineStr">
        <is>
          <t>Vật tư/đồ nghề</t>
        </is>
      </c>
      <c r="G44" s="48" t="inlineStr"/>
      <c r="H44" s="48" t="inlineStr"/>
      <c r="I44" s="53" t="inlineStr"/>
      <c r="J44" s="53" t="n">
        <v>110000</v>
      </c>
      <c r="K44" s="48" t="inlineStr">
        <is>
          <t>Có</t>
        </is>
      </c>
      <c r="L44" s="48" t="inlineStr">
        <is>
          <t>Không</t>
        </is>
      </c>
      <c r="M44" s="48" t="inlineStr">
        <is>
          <t>Đã gộp trong số dư chốt 07/05/2026</t>
        </is>
      </c>
      <c r="N44" s="48" t="inlineStr">
        <is>
          <t>Sheet1!A46:J46</t>
        </is>
      </c>
    </row>
    <row r="45">
      <c r="A45" s="48" t="inlineStr">
        <is>
          <t>NH-0044</t>
        </is>
      </c>
      <c r="B45" s="48" t="inlineStr"/>
      <c r="C45" s="48" t="inlineStr">
        <is>
          <t>Long</t>
        </is>
      </c>
      <c r="D45" s="48" t="inlineStr"/>
      <c r="E45" s="48" t="inlineStr">
        <is>
          <t>A123</t>
        </is>
      </c>
      <c r="F45" s="48" t="inlineStr">
        <is>
          <t>Vật tư/đồ nghề</t>
        </is>
      </c>
      <c r="G45" s="48" t="n">
        <v>50</v>
      </c>
      <c r="H45" s="48" t="inlineStr"/>
      <c r="I45" s="53" t="n">
        <v>23000</v>
      </c>
      <c r="J45" s="53" t="n">
        <v>1150000</v>
      </c>
      <c r="K45" s="48" t="inlineStr">
        <is>
          <t>Có</t>
        </is>
      </c>
      <c r="L45" s="48" t="inlineStr">
        <is>
          <t>Không</t>
        </is>
      </c>
      <c r="M45" s="48" t="inlineStr">
        <is>
          <t>Đã gộp trong số dư chốt 07/05/2026</t>
        </is>
      </c>
      <c r="N45" s="48" t="inlineStr">
        <is>
          <t>Sheet1!A47:J47</t>
        </is>
      </c>
    </row>
    <row r="46">
      <c r="A46" s="48" t="inlineStr">
        <is>
          <t>NH-0045</t>
        </is>
      </c>
      <c r="B46" s="48" t="inlineStr"/>
      <c r="C46" s="48" t="inlineStr">
        <is>
          <t>Long</t>
        </is>
      </c>
      <c r="D46" s="48" t="inlineStr"/>
      <c r="E46" s="48" t="inlineStr">
        <is>
          <t>mạch 4s 720Alfp new</t>
        </is>
      </c>
      <c r="F46" s="48" t="inlineStr">
        <is>
          <t>Vật tư/đồ nghề</t>
        </is>
      </c>
      <c r="G46" s="48" t="n">
        <v>3</v>
      </c>
      <c r="H46" s="48" t="inlineStr"/>
      <c r="I46" s="53" t="n">
        <v>110000</v>
      </c>
      <c r="J46" s="53" t="n">
        <v>330000</v>
      </c>
      <c r="K46" s="48" t="inlineStr">
        <is>
          <t>Có</t>
        </is>
      </c>
      <c r="L46" s="48" t="inlineStr">
        <is>
          <t>Không</t>
        </is>
      </c>
      <c r="M46" s="48" t="inlineStr">
        <is>
          <t>Đã gộp trong số dư chốt 07/05/2026</t>
        </is>
      </c>
      <c r="N46" s="48" t="inlineStr">
        <is>
          <t>Sheet1!A48:J48</t>
        </is>
      </c>
    </row>
    <row r="47">
      <c r="A47" s="48" t="inlineStr">
        <is>
          <t>NH-0046</t>
        </is>
      </c>
      <c r="B47" s="48" t="inlineStr"/>
      <c r="C47" s="48" t="inlineStr">
        <is>
          <t>Long</t>
        </is>
      </c>
      <c r="D47" s="48" t="inlineStr"/>
      <c r="E47" s="48" t="inlineStr">
        <is>
          <t>Box 13/145full</t>
        </is>
      </c>
      <c r="F47" s="48" t="inlineStr">
        <is>
          <t>Vật tư/đồ nghề</t>
        </is>
      </c>
      <c r="G47" s="48" t="n">
        <v>4</v>
      </c>
      <c r="H47" s="48" t="inlineStr"/>
      <c r="I47" s="53" t="n">
        <v>120000</v>
      </c>
      <c r="J47" s="53" t="n">
        <v>480000</v>
      </c>
      <c r="K47" s="48" t="inlineStr">
        <is>
          <t>Có</t>
        </is>
      </c>
      <c r="L47" s="48" t="inlineStr">
        <is>
          <t>Không</t>
        </is>
      </c>
      <c r="M47" s="48" t="inlineStr">
        <is>
          <t>Đã gộp trong số dư chốt 07/05/2026</t>
        </is>
      </c>
      <c r="N47" s="48" t="inlineStr">
        <is>
          <t>Sheet1!A49:J49</t>
        </is>
      </c>
    </row>
    <row r="48">
      <c r="A48" s="48" t="inlineStr">
        <is>
          <t>NH-0047</t>
        </is>
      </c>
      <c r="B48" s="48" t="inlineStr"/>
      <c r="C48" s="48" t="inlineStr">
        <is>
          <t>Long</t>
        </is>
      </c>
      <c r="D48" s="48" t="inlineStr"/>
      <c r="E48" s="48" t="inlineStr">
        <is>
          <t>mạch 13s20Adaly</t>
        </is>
      </c>
      <c r="F48" s="48" t="inlineStr">
        <is>
          <t>Vật tư/đồ nghề</t>
        </is>
      </c>
      <c r="G48" s="48" t="n">
        <v>2</v>
      </c>
      <c r="H48" s="48" t="inlineStr"/>
      <c r="I48" s="53" t="n">
        <v>205000</v>
      </c>
      <c r="J48" s="53" t="n">
        <v>410000</v>
      </c>
      <c r="K48" s="48" t="inlineStr">
        <is>
          <t>Có</t>
        </is>
      </c>
      <c r="L48" s="48" t="inlineStr">
        <is>
          <t>Không</t>
        </is>
      </c>
      <c r="M48" s="48" t="inlineStr">
        <is>
          <t>Đã gộp trong số dư chốt 07/05/2026</t>
        </is>
      </c>
      <c r="N48" s="48" t="inlineStr">
        <is>
          <t>Sheet1!A50:J50</t>
        </is>
      </c>
    </row>
    <row r="49">
      <c r="A49" s="48" t="inlineStr">
        <is>
          <t>NH-0048</t>
        </is>
      </c>
      <c r="B49" s="48" t="inlineStr"/>
      <c r="C49" s="48" t="inlineStr">
        <is>
          <t>Long</t>
        </is>
      </c>
      <c r="D49" s="48" t="inlineStr"/>
      <c r="E49" s="48" t="inlineStr">
        <is>
          <t>kẽm đôi 02*25,1kg</t>
        </is>
      </c>
      <c r="F49" s="48" t="inlineStr">
        <is>
          <t>Vật tư/đồ nghề</t>
        </is>
      </c>
      <c r="G49" s="48" t="n">
        <v>1</v>
      </c>
      <c r="H49" s="48" t="inlineStr"/>
      <c r="I49" s="53" t="n">
        <v>350000</v>
      </c>
      <c r="J49" s="53" t="n">
        <v>350000</v>
      </c>
      <c r="K49" s="48" t="inlineStr">
        <is>
          <t>Có</t>
        </is>
      </c>
      <c r="L49" s="48" t="inlineStr">
        <is>
          <t>Không</t>
        </is>
      </c>
      <c r="M49" s="48" t="inlineStr">
        <is>
          <t>Đã gộp trong số dư chốt 07/05/2026</t>
        </is>
      </c>
      <c r="N49" s="48" t="inlineStr">
        <is>
          <t>Sheet1!A51:J51</t>
        </is>
      </c>
    </row>
    <row r="50">
      <c r="A50" s="48" t="inlineStr">
        <is>
          <t>NH-0049</t>
        </is>
      </c>
      <c r="B50" s="48" t="inlineStr"/>
      <c r="C50" s="48" t="inlineStr">
        <is>
          <t>Long</t>
        </is>
      </c>
      <c r="D50" s="48" t="inlineStr"/>
      <c r="E50" s="48" t="inlineStr">
        <is>
          <t>1kg kẽm đơn02*8xr</t>
        </is>
      </c>
      <c r="F50" s="48" t="inlineStr">
        <is>
          <t>Vật tư/đồ nghề</t>
        </is>
      </c>
      <c r="G50" s="48" t="n">
        <v>1</v>
      </c>
      <c r="H50" s="48" t="inlineStr"/>
      <c r="I50" s="53" t="n">
        <v>350000</v>
      </c>
      <c r="J50" s="53" t="n">
        <v>350000</v>
      </c>
      <c r="K50" s="48" t="inlineStr">
        <is>
          <t>Có</t>
        </is>
      </c>
      <c r="L50" s="48" t="inlineStr">
        <is>
          <t>Không</t>
        </is>
      </c>
      <c r="M50" s="48" t="inlineStr">
        <is>
          <t>Đã gộp trong số dư chốt 07/05/2026</t>
        </is>
      </c>
      <c r="N50" s="48" t="inlineStr">
        <is>
          <t>Sheet1!A52:J52</t>
        </is>
      </c>
    </row>
    <row r="51">
      <c r="A51" s="48" t="inlineStr">
        <is>
          <t>NH-0050</t>
        </is>
      </c>
      <c r="B51" s="48" t="inlineStr"/>
      <c r="C51" s="48" t="inlineStr">
        <is>
          <t>Long</t>
        </is>
      </c>
      <c r="D51" s="48" t="inlineStr"/>
      <c r="E51" s="48" t="inlineStr">
        <is>
          <t>2 vỏ + mạch  bình 30A</t>
        </is>
      </c>
      <c r="F51" s="48" t="inlineStr">
        <is>
          <t>Vật tư/đồ nghề</t>
        </is>
      </c>
      <c r="G51" s="48" t="inlineStr"/>
      <c r="H51" s="48" t="inlineStr"/>
      <c r="I51" s="53" t="inlineStr"/>
      <c r="J51" s="53" t="n">
        <v>890000</v>
      </c>
      <c r="K51" s="48" t="inlineStr">
        <is>
          <t>Có</t>
        </is>
      </c>
      <c r="L51" s="48" t="inlineStr">
        <is>
          <t>Không</t>
        </is>
      </c>
      <c r="M51" s="48" t="inlineStr">
        <is>
          <t>Phương đem về | Đã gộp trong số dư chốt 07/05/2026</t>
        </is>
      </c>
      <c r="N51" s="48" t="inlineStr">
        <is>
          <t>Sheet1!A53:J53</t>
        </is>
      </c>
    </row>
    <row r="52">
      <c r="A52" s="48" t="inlineStr">
        <is>
          <t>NH-0051</t>
        </is>
      </c>
      <c r="B52" s="48" t="inlineStr"/>
      <c r="C52" s="48" t="inlineStr">
        <is>
          <t>Long</t>
        </is>
      </c>
      <c r="D52" s="48" t="inlineStr"/>
      <c r="E52" s="48" t="inlineStr">
        <is>
          <t>24 viên pin 33140 EVE</t>
        </is>
      </c>
      <c r="F52" s="48" t="inlineStr">
        <is>
          <t>Vật tư/đồ nghề</t>
        </is>
      </c>
      <c r="G52" s="48" t="inlineStr"/>
      <c r="H52" s="48" t="inlineStr"/>
      <c r="I52" s="53" t="n">
        <v>77000</v>
      </c>
      <c r="J52" s="53" t="n">
        <v>1848000</v>
      </c>
      <c r="K52" s="48" t="inlineStr">
        <is>
          <t>Có</t>
        </is>
      </c>
      <c r="L52" s="48" t="inlineStr">
        <is>
          <t>Không</t>
        </is>
      </c>
      <c r="M52" s="48" t="inlineStr">
        <is>
          <t>Phương đem về | Đã gộp trong số dư chốt 07/05/2026</t>
        </is>
      </c>
      <c r="N52" s="48" t="inlineStr">
        <is>
          <t>Sheet1!A54:J54</t>
        </is>
      </c>
    </row>
    <row r="53">
      <c r="A53" s="48" t="inlineStr">
        <is>
          <t>NH-0052</t>
        </is>
      </c>
      <c r="B53" s="48" t="inlineStr"/>
      <c r="C53" s="48" t="inlineStr">
        <is>
          <t>Long</t>
        </is>
      </c>
      <c r="D53" s="48" t="inlineStr"/>
      <c r="E53" s="48" t="inlineStr">
        <is>
          <t>VỎ MẠCH 10 CELL</t>
        </is>
      </c>
      <c r="F53" s="48" t="inlineStr">
        <is>
          <t>Vật tư/đồ nghề</t>
        </is>
      </c>
      <c r="G53" s="48" t="n">
        <v>3</v>
      </c>
      <c r="H53" s="48" t="inlineStr"/>
      <c r="I53" s="53" t="inlineStr"/>
      <c r="J53" s="53" t="n">
        <v>240000</v>
      </c>
      <c r="K53" s="48" t="inlineStr">
        <is>
          <t>Có</t>
        </is>
      </c>
      <c r="L53" s="48" t="inlineStr">
        <is>
          <t>Không</t>
        </is>
      </c>
      <c r="M53" s="48" t="inlineStr">
        <is>
          <t>Gởi cùng hàng bên nhà | Đã gộp trong số dư chốt 07/05/2026</t>
        </is>
      </c>
      <c r="N53" s="48" t="inlineStr">
        <is>
          <t>Sheet1!A55:J55</t>
        </is>
      </c>
    </row>
    <row r="54">
      <c r="A54" s="48" t="inlineStr">
        <is>
          <t>NH-0053</t>
        </is>
      </c>
      <c r="B54" s="48" t="inlineStr"/>
      <c r="C54" s="48" t="inlineStr">
        <is>
          <t>Long</t>
        </is>
      </c>
      <c r="D54" s="48" t="inlineStr"/>
      <c r="E54" s="48" t="inlineStr">
        <is>
          <t>VỎ MẠCH 15 CELL</t>
        </is>
      </c>
      <c r="F54" s="48" t="inlineStr">
        <is>
          <t>Vật tư/đồ nghề</t>
        </is>
      </c>
      <c r="G54" s="48" t="n">
        <v>3</v>
      </c>
      <c r="H54" s="48" t="inlineStr"/>
      <c r="I54" s="53" t="inlineStr"/>
      <c r="J54" s="53" t="n">
        <v>255000</v>
      </c>
      <c r="K54" s="48" t="inlineStr">
        <is>
          <t>Có</t>
        </is>
      </c>
      <c r="L54" s="48" t="inlineStr">
        <is>
          <t>Không</t>
        </is>
      </c>
      <c r="M54" s="48" t="inlineStr">
        <is>
          <t>Đã gộp trong số dư chốt 07/05/2026</t>
        </is>
      </c>
      <c r="N54" s="48" t="inlineStr">
        <is>
          <t>Sheet1!A56:J56</t>
        </is>
      </c>
    </row>
    <row r="55">
      <c r="A55" s="48" t="inlineStr">
        <is>
          <t>NH-0054</t>
        </is>
      </c>
      <c r="B55" s="48" t="inlineStr"/>
      <c r="C55" s="48" t="inlineStr">
        <is>
          <t>Long</t>
        </is>
      </c>
      <c r="D55" s="48" t="inlineStr"/>
      <c r="E55" s="48" t="inlineStr">
        <is>
          <t>VỎ 45A</t>
        </is>
      </c>
      <c r="F55" s="48" t="inlineStr">
        <is>
          <t>Vật tư/đồ nghề</t>
        </is>
      </c>
      <c r="G55" s="48" t="n">
        <v>2</v>
      </c>
      <c r="H55" s="48" t="inlineStr"/>
      <c r="I55" s="53" t="n">
        <v>220</v>
      </c>
      <c r="J55" s="53" t="n">
        <v>440000</v>
      </c>
      <c r="K55" s="48" t="inlineStr">
        <is>
          <t>Có</t>
        </is>
      </c>
      <c r="L55" s="48" t="inlineStr">
        <is>
          <t>Không</t>
        </is>
      </c>
      <c r="M55" s="48" t="inlineStr">
        <is>
          <t>CHÂU CHỞ VỀ | Đã gộp trong số dư chốt 07/05/2026</t>
        </is>
      </c>
      <c r="N55" s="48" t="inlineStr">
        <is>
          <t>Sheet1!A57:J57</t>
        </is>
      </c>
    </row>
    <row r="56">
      <c r="A56" s="48" t="inlineStr">
        <is>
          <t>NH-0055</t>
        </is>
      </c>
      <c r="B56" s="48" t="inlineStr"/>
      <c r="C56" s="48" t="inlineStr">
        <is>
          <t>Long</t>
        </is>
      </c>
      <c r="D56" s="48" t="inlineStr"/>
      <c r="E56" s="48" t="inlineStr">
        <is>
          <t>PIN33140EVE</t>
        </is>
      </c>
      <c r="F56" s="48" t="inlineStr">
        <is>
          <t>Vật tư/đồ nghề</t>
        </is>
      </c>
      <c r="G56" s="48" t="n">
        <v>16</v>
      </c>
      <c r="H56" s="48" t="inlineStr"/>
      <c r="I56" s="53" t="n">
        <v>81000</v>
      </c>
      <c r="J56" s="53" t="n">
        <v>1296000</v>
      </c>
      <c r="K56" s="48" t="inlineStr">
        <is>
          <t>Có</t>
        </is>
      </c>
      <c r="L56" s="48" t="inlineStr">
        <is>
          <t>Không</t>
        </is>
      </c>
      <c r="M56" s="48" t="inlineStr">
        <is>
          <t>CHÂU CHỞ VỀ | Đã gộp trong số dư chốt 07/05/2026</t>
        </is>
      </c>
      <c r="N56" s="48" t="inlineStr">
        <is>
          <t>Sheet1!A58:J58</t>
        </is>
      </c>
    </row>
    <row r="57">
      <c r="A57" s="48" t="inlineStr">
        <is>
          <t>NH-0056</t>
        </is>
      </c>
      <c r="B57" s="48" t="inlineStr"/>
      <c r="C57" s="48" t="inlineStr">
        <is>
          <t>Long</t>
        </is>
      </c>
      <c r="D57" s="48" t="inlineStr"/>
      <c r="E57" s="48" t="inlineStr">
        <is>
          <t>MẠCH 200A CCBTD ,CHỐNG CHẬP</t>
        </is>
      </c>
      <c r="F57" s="48" t="inlineStr">
        <is>
          <t>Vật tư/đồ nghề</t>
        </is>
      </c>
      <c r="G57" s="48" t="n">
        <v>2</v>
      </c>
      <c r="H57" s="48" t="inlineStr"/>
      <c r="I57" s="53" t="n">
        <v>205000</v>
      </c>
      <c r="J57" s="53" t="n">
        <v>410000</v>
      </c>
      <c r="K57" s="48" t="inlineStr">
        <is>
          <t>Có</t>
        </is>
      </c>
      <c r="L57" s="48" t="inlineStr">
        <is>
          <t>Không</t>
        </is>
      </c>
      <c r="M57" s="48" t="inlineStr">
        <is>
          <t>CHÂU CHỞ VỀ | Đã gộp trong số dư chốt 07/05/2026</t>
        </is>
      </c>
      <c r="N57" s="48" t="inlineStr">
        <is>
          <t>Sheet1!A59:J59</t>
        </is>
      </c>
    </row>
    <row r="58">
      <c r="A58" s="48" t="inlineStr">
        <is>
          <t>NH-0057</t>
        </is>
      </c>
      <c r="B58" s="48" t="inlineStr"/>
      <c r="C58" s="48" t="inlineStr">
        <is>
          <t>Long</t>
        </is>
      </c>
      <c r="D58" s="48" t="inlineStr"/>
      <c r="E58" s="48" t="inlineStr">
        <is>
          <t>SẠC 21V 3A,CÓ QUẠT</t>
        </is>
      </c>
      <c r="F58" s="48" t="inlineStr">
        <is>
          <t>Vật tư/đồ nghề</t>
        </is>
      </c>
      <c r="G58" s="48" t="n">
        <v>2</v>
      </c>
      <c r="H58" s="48" t="inlineStr"/>
      <c r="I58" s="53" t="n">
        <v>110000</v>
      </c>
      <c r="J58" s="53" t="n">
        <v>220000</v>
      </c>
      <c r="K58" s="48" t="inlineStr">
        <is>
          <t>Có</t>
        </is>
      </c>
      <c r="L58" s="48" t="inlineStr">
        <is>
          <t>Không</t>
        </is>
      </c>
      <c r="M58" s="48" t="inlineStr">
        <is>
          <t>CHÂU CHỞ VỀ | Đã gộp trong số dư chốt 07/05/2026</t>
        </is>
      </c>
      <c r="N58" s="48" t="inlineStr">
        <is>
          <t>Sheet1!A60:J60</t>
        </is>
      </c>
    </row>
    <row r="59">
      <c r="A59" s="48" t="inlineStr">
        <is>
          <t>NH-0058</t>
        </is>
      </c>
      <c r="B59" s="48" t="inlineStr"/>
      <c r="C59" s="48" t="inlineStr">
        <is>
          <t>Long</t>
        </is>
      </c>
      <c r="D59" s="48" t="inlineStr"/>
      <c r="E59" s="48" t="inlineStr">
        <is>
          <t>MÁY XẢ</t>
        </is>
      </c>
      <c r="F59" s="48" t="inlineStr">
        <is>
          <t>Vật tư/đồ nghề</t>
        </is>
      </c>
      <c r="G59" s="48" t="n">
        <v>1</v>
      </c>
      <c r="H59" s="48" t="inlineStr"/>
      <c r="I59" s="53" t="n">
        <v>4000000</v>
      </c>
      <c r="J59" s="53" t="n">
        <v>4000000</v>
      </c>
      <c r="K59" s="48" t="inlineStr">
        <is>
          <t>Có</t>
        </is>
      </c>
      <c r="L59" s="48" t="inlineStr">
        <is>
          <t>Không</t>
        </is>
      </c>
      <c r="M59" s="48" t="inlineStr">
        <is>
          <t>SHIP | Đã gộp trong số dư chốt 07/05/2026</t>
        </is>
      </c>
      <c r="N59" s="48" t="inlineStr">
        <is>
          <t>Sheet1!A61:J61</t>
        </is>
      </c>
    </row>
    <row r="60">
      <c r="A60" s="48" t="inlineStr">
        <is>
          <t>NH-0059</t>
        </is>
      </c>
      <c r="B60" s="48" t="inlineStr"/>
      <c r="C60" s="48" t="inlineStr">
        <is>
          <t>Long</t>
        </is>
      </c>
      <c r="D60" s="48" t="inlineStr"/>
      <c r="E60" s="48" t="inlineStr">
        <is>
          <t>Vỏ ,mạch ,sạc,laser</t>
        </is>
      </c>
      <c r="F60" s="48" t="inlineStr">
        <is>
          <t>Vật tư/đồ nghề</t>
        </is>
      </c>
      <c r="G60" s="48" t="n">
        <v>3</v>
      </c>
      <c r="H60" s="48" t="inlineStr"/>
      <c r="I60" s="53" t="n">
        <v>40000</v>
      </c>
      <c r="J60" s="53" t="n">
        <v>120000</v>
      </c>
      <c r="K60" s="48" t="inlineStr">
        <is>
          <t>Có</t>
        </is>
      </c>
      <c r="L60" s="48" t="inlineStr">
        <is>
          <t>Không</t>
        </is>
      </c>
      <c r="M60" s="48" t="inlineStr">
        <is>
          <t>Đã gộp trong số dư chốt 07/05/2026</t>
        </is>
      </c>
      <c r="N60" s="48" t="inlineStr">
        <is>
          <t>Sheet1!A62:J62</t>
        </is>
      </c>
    </row>
    <row r="61">
      <c r="A61" s="48" t="inlineStr">
        <is>
          <t>NH-0060</t>
        </is>
      </c>
      <c r="B61" s="48" t="inlineStr"/>
      <c r="C61" s="48" t="inlineStr">
        <is>
          <t>Long</t>
        </is>
      </c>
      <c r="D61" s="48" t="inlineStr"/>
      <c r="E61" s="48" t="inlineStr">
        <is>
          <t>Sữa máy cắt</t>
        </is>
      </c>
      <c r="F61" s="48" t="inlineStr">
        <is>
          <t>Vật tư/đồ nghề</t>
        </is>
      </c>
      <c r="G61" s="48" t="inlineStr"/>
      <c r="H61" s="48" t="inlineStr"/>
      <c r="I61" s="53" t="n">
        <v>100</v>
      </c>
      <c r="J61" s="53" t="n">
        <v>100000</v>
      </c>
      <c r="K61" s="48" t="inlineStr">
        <is>
          <t>Có</t>
        </is>
      </c>
      <c r="L61" s="48" t="inlineStr">
        <is>
          <t>Không</t>
        </is>
      </c>
      <c r="M61" s="48" t="inlineStr">
        <is>
          <t>Đã gộp trong số dư chốt 07/05/2026</t>
        </is>
      </c>
      <c r="N61" s="48" t="inlineStr">
        <is>
          <t>Sheet1!A63:J63</t>
        </is>
      </c>
    </row>
    <row r="62">
      <c r="A62" s="48" t="inlineStr">
        <is>
          <t>NH-0061</t>
        </is>
      </c>
      <c r="B62" s="48" t="inlineStr"/>
      <c r="C62" s="48" t="inlineStr">
        <is>
          <t>Long</t>
        </is>
      </c>
      <c r="D62" s="48" t="inlineStr"/>
      <c r="E62" s="48" t="inlineStr">
        <is>
          <t>Máy cắt gởi tâm</t>
        </is>
      </c>
      <c r="F62" s="48" t="inlineStr">
        <is>
          <t>Vật tư/đồ nghề</t>
        </is>
      </c>
      <c r="G62" s="48" t="inlineStr"/>
      <c r="H62" s="48" t="inlineStr"/>
      <c r="I62" s="53" t="inlineStr"/>
      <c r="J62" s="53" t="n">
        <v>1000000</v>
      </c>
      <c r="K62" s="48" t="inlineStr">
        <is>
          <t>Có</t>
        </is>
      </c>
      <c r="L62" s="48" t="inlineStr">
        <is>
          <t>Không</t>
        </is>
      </c>
      <c r="M62" s="48" t="inlineStr">
        <is>
          <t>Gởi tâm sài gòn | Đã gộp trong số dư chốt 07/05/2026</t>
        </is>
      </c>
      <c r="N62" s="48" t="inlineStr">
        <is>
          <t>Sheet1!A64:J64</t>
        </is>
      </c>
    </row>
    <row r="63">
      <c r="A63" s="48" t="inlineStr">
        <is>
          <t>NH-0062</t>
        </is>
      </c>
      <c r="B63" s="48" t="inlineStr"/>
      <c r="C63" s="48" t="inlineStr">
        <is>
          <t>Long</t>
        </is>
      </c>
      <c r="D63" s="48" t="inlineStr"/>
      <c r="E63" s="48" t="inlineStr">
        <is>
          <t>Máy vít 173,pin15cell,sạc nhanh,1 đèn ,đóng lại 2 quả pin 5cell</t>
        </is>
      </c>
      <c r="F63" s="48" t="inlineStr">
        <is>
          <t>Vật tư/đồ nghề</t>
        </is>
      </c>
      <c r="G63" s="48" t="inlineStr"/>
      <c r="H63" s="48" t="inlineStr"/>
      <c r="I63" s="53" t="n">
        <v>1540000</v>
      </c>
      <c r="J63" s="53" t="n">
        <v>1540000</v>
      </c>
      <c r="K63" s="48" t="inlineStr">
        <is>
          <t>Có</t>
        </is>
      </c>
      <c r="L63" s="48" t="inlineStr">
        <is>
          <t>Không</t>
        </is>
      </c>
      <c r="M63" s="48" t="inlineStr">
        <is>
          <t>Ở bệnh viện đa khoa | Đã gộp trong số dư chốt 07/05/2026</t>
        </is>
      </c>
      <c r="N63" s="48" t="inlineStr">
        <is>
          <t>Sheet1!A65:J65</t>
        </is>
      </c>
    </row>
    <row r="64">
      <c r="A64" s="48" t="inlineStr">
        <is>
          <t>NH-0063</t>
        </is>
      </c>
      <c r="B64" s="48" t="inlineStr"/>
      <c r="C64" s="48" t="inlineStr">
        <is>
          <t>Long</t>
        </is>
      </c>
      <c r="D64" s="48" t="inlineStr"/>
      <c r="E64" s="48" t="inlineStr">
        <is>
          <t>pin vev 25p</t>
        </is>
      </c>
      <c r="F64" s="48" t="inlineStr">
        <is>
          <t>Vật tư/đồ nghề</t>
        </is>
      </c>
      <c r="G64" s="48" t="n">
        <v>60</v>
      </c>
      <c r="H64" s="48" t="inlineStr"/>
      <c r="I64" s="53" t="inlineStr"/>
      <c r="J64" s="53" t="n">
        <v>1320000</v>
      </c>
      <c r="K64" s="48" t="inlineStr">
        <is>
          <t>Có</t>
        </is>
      </c>
      <c r="L64" s="48" t="inlineStr">
        <is>
          <t>Không</t>
        </is>
      </c>
      <c r="M64" s="48" t="inlineStr">
        <is>
          <t>Đã gộp trong số dư chốt 07/05/2026</t>
        </is>
      </c>
      <c r="N64" s="48" t="inlineStr">
        <is>
          <t>Sheet1!A66:J66</t>
        </is>
      </c>
    </row>
    <row r="65">
      <c r="A65" s="48" t="inlineStr">
        <is>
          <t>NH-0064</t>
        </is>
      </c>
      <c r="B65" s="48" t="inlineStr"/>
      <c r="C65" s="48" t="inlineStr">
        <is>
          <t>Long</t>
        </is>
      </c>
      <c r="D65" s="48" t="inlineStr"/>
      <c r="E65" s="48" t="inlineStr">
        <is>
          <t>Pin 21700,50E</t>
        </is>
      </c>
      <c r="F65" s="48" t="inlineStr">
        <is>
          <t>Vật tư/đồ nghề</t>
        </is>
      </c>
      <c r="G65" s="48" t="n">
        <v>16</v>
      </c>
      <c r="H65" s="48" t="inlineStr"/>
      <c r="I65" s="53" t="n">
        <v>35000</v>
      </c>
      <c r="J65" s="53" t="n">
        <v>560000</v>
      </c>
      <c r="K65" s="48" t="inlineStr">
        <is>
          <t>Có</t>
        </is>
      </c>
      <c r="L65" s="48" t="inlineStr">
        <is>
          <t>Không</t>
        </is>
      </c>
      <c r="M65" s="48" t="inlineStr">
        <is>
          <t>xe quyền | Đã gộp trong số dư chốt 07/05/2026</t>
        </is>
      </c>
      <c r="N65" s="48" t="inlineStr">
        <is>
          <t>Sheet1!A67:J67</t>
        </is>
      </c>
    </row>
    <row r="66">
      <c r="A66" s="48" t="inlineStr">
        <is>
          <t>NH-0065</t>
        </is>
      </c>
      <c r="B66" s="48" t="inlineStr"/>
      <c r="C66" s="48" t="inlineStr">
        <is>
          <t>Long</t>
        </is>
      </c>
      <c r="D66" s="48" t="inlineStr"/>
      <c r="E66" s="48" t="inlineStr">
        <is>
          <t>vỏ  sạc dự phòng 20ah</t>
        </is>
      </c>
      <c r="F66" s="48" t="inlineStr">
        <is>
          <t>Vật tư/đồ nghề</t>
        </is>
      </c>
      <c r="G66" s="48" t="inlineStr"/>
      <c r="H66" s="48" t="inlineStr"/>
      <c r="I66" s="53" t="n">
        <v>120000</v>
      </c>
      <c r="J66" s="53" t="n">
        <v>480000</v>
      </c>
      <c r="K66" s="48" t="inlineStr">
        <is>
          <t>Có</t>
        </is>
      </c>
      <c r="L66" s="48" t="inlineStr">
        <is>
          <t>Không</t>
        </is>
      </c>
      <c r="M66" s="48" t="inlineStr">
        <is>
          <t>Đã gộp trong số dư chốt 07/05/2026</t>
        </is>
      </c>
      <c r="N66" s="48" t="inlineStr">
        <is>
          <t>Sheet1!A68:J68</t>
        </is>
      </c>
    </row>
    <row r="67">
      <c r="A67" s="48" t="inlineStr">
        <is>
          <t>NH-0066</t>
        </is>
      </c>
      <c r="B67" s="48" t="inlineStr"/>
      <c r="C67" s="48" t="inlineStr">
        <is>
          <t>Long</t>
        </is>
      </c>
      <c r="D67" s="48" t="inlineStr"/>
      <c r="E67" s="48" t="inlineStr">
        <is>
          <t>1 họp nhựa xe điện</t>
        </is>
      </c>
      <c r="F67" s="48" t="inlineStr">
        <is>
          <t>Vật tư/đồ nghề</t>
        </is>
      </c>
      <c r="G67" s="48" t="n">
        <v>1</v>
      </c>
      <c r="H67" s="48" t="inlineStr"/>
      <c r="I67" s="53" t="inlineStr"/>
      <c r="J67" s="53" t="n">
        <v>160000</v>
      </c>
      <c r="K67" s="48" t="inlineStr">
        <is>
          <t>Có</t>
        </is>
      </c>
      <c r="L67" s="48" t="inlineStr">
        <is>
          <t>Không</t>
        </is>
      </c>
      <c r="M67" s="48" t="inlineStr">
        <is>
          <t>xe sỹ | Đã gộp trong số dư chốt 07/05/2026</t>
        </is>
      </c>
      <c r="N67" s="48" t="inlineStr">
        <is>
          <t>Sheet1!A69:J69</t>
        </is>
      </c>
    </row>
    <row r="68">
      <c r="A68" s="48" t="inlineStr">
        <is>
          <t>NH-0067</t>
        </is>
      </c>
      <c r="B68" s="48" t="inlineStr"/>
      <c r="C68" s="48" t="inlineStr">
        <is>
          <t>Long</t>
        </is>
      </c>
      <c r="D68" s="48" t="inlineStr"/>
      <c r="E68" s="48" t="inlineStr">
        <is>
          <t>1 mạch daly 13s30a</t>
        </is>
      </c>
      <c r="F68" s="48" t="inlineStr">
        <is>
          <t>Vật tư/đồ nghề</t>
        </is>
      </c>
      <c r="G68" s="48" t="n">
        <v>1</v>
      </c>
      <c r="H68" s="48" t="inlineStr"/>
      <c r="I68" s="53" t="inlineStr"/>
      <c r="J68" s="53" t="n">
        <v>250000</v>
      </c>
      <c r="K68" s="48" t="inlineStr">
        <is>
          <t>Có</t>
        </is>
      </c>
      <c r="L68" s="48" t="inlineStr">
        <is>
          <t>Không</t>
        </is>
      </c>
      <c r="M68" s="48" t="inlineStr">
        <is>
          <t>Đã gộp trong số dư chốt 07/05/2026</t>
        </is>
      </c>
      <c r="N68" s="48" t="inlineStr">
        <is>
          <t>Sheet1!A70:J70</t>
        </is>
      </c>
    </row>
    <row r="69">
      <c r="A69" s="48" t="inlineStr">
        <is>
          <t>NH-0068</t>
        </is>
      </c>
      <c r="B69" s="48" t="inlineStr"/>
      <c r="C69" s="48" t="inlineStr">
        <is>
          <t>Long</t>
        </is>
      </c>
      <c r="D69" s="48" t="inlineStr"/>
      <c r="E69" s="48" t="inlineStr">
        <is>
          <t>pinn 21700 ,50e</t>
        </is>
      </c>
      <c r="F69" s="48" t="inlineStr">
        <is>
          <t>Vật tư/đồ nghề</t>
        </is>
      </c>
      <c r="G69" s="48" t="n">
        <v>60</v>
      </c>
      <c r="H69" s="48" t="inlineStr"/>
      <c r="I69" s="53" t="n">
        <v>35000</v>
      </c>
      <c r="J69" s="53" t="n">
        <v>2100000</v>
      </c>
      <c r="K69" s="48" t="inlineStr">
        <is>
          <t>Có</t>
        </is>
      </c>
      <c r="L69" s="48" t="inlineStr">
        <is>
          <t>Không</t>
        </is>
      </c>
      <c r="M69" s="48" t="inlineStr">
        <is>
          <t>Đã gộp trong số dư chốt 07/05/2026</t>
        </is>
      </c>
      <c r="N69" s="48" t="inlineStr">
        <is>
          <t>Sheet1!A71:J71</t>
        </is>
      </c>
    </row>
    <row r="70">
      <c r="A70" s="48" t="inlineStr">
        <is>
          <t>NH-0069</t>
        </is>
      </c>
      <c r="B70" s="48" t="inlineStr"/>
      <c r="C70" s="48" t="inlineStr">
        <is>
          <t>Long</t>
        </is>
      </c>
      <c r="D70" s="48" t="inlineStr"/>
      <c r="E70" s="48" t="inlineStr">
        <is>
          <t>sạc 13s5a</t>
        </is>
      </c>
      <c r="F70" s="48" t="inlineStr">
        <is>
          <t>Vật tư/đồ nghề</t>
        </is>
      </c>
      <c r="G70" s="48" t="n">
        <v>1</v>
      </c>
      <c r="H70" s="48" t="inlineStr"/>
      <c r="I70" s="53" t="inlineStr"/>
      <c r="J70" s="53" t="n">
        <v>220000</v>
      </c>
      <c r="K70" s="48" t="inlineStr">
        <is>
          <t>Có</t>
        </is>
      </c>
      <c r="L70" s="48" t="inlineStr">
        <is>
          <t>Không</t>
        </is>
      </c>
      <c r="M70" s="48" t="inlineStr">
        <is>
          <t>Đã gộp trong số dư chốt 07/05/2026</t>
        </is>
      </c>
      <c r="N70" s="48" t="inlineStr">
        <is>
          <t>Sheet1!A72:J72</t>
        </is>
      </c>
    </row>
    <row r="71">
      <c r="A71" s="48" t="inlineStr">
        <is>
          <t>NH-0070</t>
        </is>
      </c>
      <c r="B71" s="48" t="inlineStr"/>
      <c r="C71" s="48" t="inlineStr">
        <is>
          <t>Long</t>
        </is>
      </c>
      <c r="D71" s="48" t="inlineStr"/>
      <c r="E71" s="48" t="inlineStr">
        <is>
          <t>Mạch 5s</t>
        </is>
      </c>
      <c r="F71" s="48" t="inlineStr">
        <is>
          <t>Vật tư/đồ nghề</t>
        </is>
      </c>
      <c r="G71" s="48" t="n">
        <v>8</v>
      </c>
      <c r="H71" s="48" t="inlineStr"/>
      <c r="I71" s="53" t="n">
        <v>28000</v>
      </c>
      <c r="J71" s="53" t="n">
        <v>224000</v>
      </c>
      <c r="K71" s="48" t="inlineStr">
        <is>
          <t>Có</t>
        </is>
      </c>
      <c r="L71" s="48" t="inlineStr">
        <is>
          <t>Không</t>
        </is>
      </c>
      <c r="M71" s="48" t="inlineStr">
        <is>
          <t>Đã gộp trong số dư chốt 07/05/2026</t>
        </is>
      </c>
      <c r="N71" s="48" t="inlineStr">
        <is>
          <t>Sheet1!A73:J73</t>
        </is>
      </c>
    </row>
    <row r="72">
      <c r="A72" s="48" t="inlineStr">
        <is>
          <t>NH-0071</t>
        </is>
      </c>
      <c r="B72" s="48" t="inlineStr"/>
      <c r="C72" s="48" t="inlineStr">
        <is>
          <t>Long</t>
        </is>
      </c>
      <c r="D72" s="48" t="inlineStr"/>
      <c r="E72" s="48" t="inlineStr">
        <is>
          <t>Máy  siết bu lông DTW700</t>
        </is>
      </c>
      <c r="F72" s="48" t="inlineStr">
        <is>
          <t>Vật tư/đồ nghề</t>
        </is>
      </c>
      <c r="G72" s="48" t="n">
        <v>1</v>
      </c>
      <c r="H72" s="48" t="inlineStr"/>
      <c r="I72" s="53" t="inlineStr"/>
      <c r="J72" s="53" t="n">
        <v>750000</v>
      </c>
      <c r="K72" s="48" t="inlineStr">
        <is>
          <t>Có</t>
        </is>
      </c>
      <c r="L72" s="48" t="inlineStr">
        <is>
          <t>Không</t>
        </is>
      </c>
      <c r="M72" s="48" t="inlineStr">
        <is>
          <t>Đã gộp trong số dư chốt 07/05/2026</t>
        </is>
      </c>
      <c r="N72" s="48" t="inlineStr">
        <is>
          <t>Sheet1!A74:J74</t>
        </is>
      </c>
    </row>
    <row r="73">
      <c r="A73" s="48" t="inlineStr">
        <is>
          <t>NH-0072</t>
        </is>
      </c>
      <c r="B73" s="48" t="inlineStr"/>
      <c r="C73" s="48" t="inlineStr">
        <is>
          <t>Long</t>
        </is>
      </c>
      <c r="D73" s="48" t="inlineStr"/>
      <c r="E73" s="48" t="inlineStr">
        <is>
          <t>Pin 33140eve</t>
        </is>
      </c>
      <c r="F73" s="48" t="inlineStr">
        <is>
          <t>Vật tư/đồ nghề</t>
        </is>
      </c>
      <c r="G73" s="48" t="n">
        <v>20</v>
      </c>
      <c r="H73" s="48" t="inlineStr"/>
      <c r="I73" s="53" t="n">
        <v>810000</v>
      </c>
      <c r="J73" s="53" t="n">
        <v>1620000</v>
      </c>
      <c r="K73" s="48" t="inlineStr">
        <is>
          <t>Có</t>
        </is>
      </c>
      <c r="L73" s="48" t="inlineStr">
        <is>
          <t>Không</t>
        </is>
      </c>
      <c r="M73" s="48" t="inlineStr">
        <is>
          <t>Đã gộp trong số dư chốt 07/05/2026</t>
        </is>
      </c>
      <c r="N73" s="48" t="inlineStr">
        <is>
          <t>Sheet1!A76:J76</t>
        </is>
      </c>
    </row>
    <row r="74">
      <c r="A74" s="48" t="inlineStr">
        <is>
          <t>NH-0073</t>
        </is>
      </c>
      <c r="B74" s="48" t="inlineStr"/>
      <c r="C74" s="48" t="inlineStr">
        <is>
          <t>Long</t>
        </is>
      </c>
      <c r="D74" s="48" t="inlineStr"/>
      <c r="E74" s="48" t="inlineStr">
        <is>
          <t>Sạc 21v3a</t>
        </is>
      </c>
      <c r="F74" s="48" t="inlineStr">
        <is>
          <t>Vật tư/đồ nghề</t>
        </is>
      </c>
      <c r="G74" s="48" t="n">
        <v>4</v>
      </c>
      <c r="H74" s="48" t="inlineStr"/>
      <c r="I74" s="53" t="n">
        <v>110000</v>
      </c>
      <c r="J74" s="53" t="n">
        <v>440000</v>
      </c>
      <c r="K74" s="48" t="inlineStr">
        <is>
          <t>Có</t>
        </is>
      </c>
      <c r="L74" s="48" t="inlineStr">
        <is>
          <t>Không</t>
        </is>
      </c>
      <c r="M74" s="48" t="inlineStr">
        <is>
          <t>Đã gộp trong số dư chốt 07/05/2026</t>
        </is>
      </c>
      <c r="N74" s="48" t="inlineStr">
        <is>
          <t>Sheet1!A77:J77</t>
        </is>
      </c>
    </row>
    <row r="75">
      <c r="A75" s="48" t="inlineStr">
        <is>
          <t>NH-0074</t>
        </is>
      </c>
      <c r="B75" s="48" t="inlineStr"/>
      <c r="C75" s="48" t="inlineStr">
        <is>
          <t>Long</t>
        </is>
      </c>
      <c r="D75" s="48" t="inlineStr"/>
      <c r="E75" s="48" t="inlineStr">
        <is>
          <t>Mạch bình xe máy</t>
        </is>
      </c>
      <c r="F75" s="48" t="inlineStr">
        <is>
          <t>Vật tư/đồ nghề</t>
        </is>
      </c>
      <c r="G75" s="48" t="n">
        <v>2</v>
      </c>
      <c r="H75" s="48" t="inlineStr"/>
      <c r="I75" s="53" t="n">
        <v>110000</v>
      </c>
      <c r="J75" s="53" t="n">
        <v>220000</v>
      </c>
      <c r="K75" s="48" t="inlineStr">
        <is>
          <t>Có</t>
        </is>
      </c>
      <c r="L75" s="48" t="inlineStr">
        <is>
          <t>Không</t>
        </is>
      </c>
      <c r="M75" s="48" t="inlineStr">
        <is>
          <t>Đã gộp trong số dư chốt 07/05/2026</t>
        </is>
      </c>
      <c r="N75" s="48" t="inlineStr">
        <is>
          <t>Sheet1!A78:J78</t>
        </is>
      </c>
    </row>
    <row r="76">
      <c r="A76" s="48" t="inlineStr">
        <is>
          <t>NH-0075</t>
        </is>
      </c>
      <c r="B76" s="48" t="inlineStr"/>
      <c r="C76" s="48" t="inlineStr">
        <is>
          <t>Long</t>
        </is>
      </c>
      <c r="D76" s="48" t="inlineStr"/>
      <c r="E76" s="48" t="inlineStr">
        <is>
          <t>Dây điện bãi</t>
        </is>
      </c>
      <c r="F76" s="48" t="inlineStr">
        <is>
          <t>Vật tư/đồ nghề</t>
        </is>
      </c>
      <c r="G76" s="48" t="n">
        <v>0.5</v>
      </c>
      <c r="H76" s="48" t="inlineStr"/>
      <c r="I76" s="53" t="inlineStr"/>
      <c r="J76" s="53" t="n">
        <v>190000</v>
      </c>
      <c r="K76" s="48" t="inlineStr">
        <is>
          <t>Có</t>
        </is>
      </c>
      <c r="L76" s="48" t="inlineStr">
        <is>
          <t>Không</t>
        </is>
      </c>
      <c r="M76" s="48" t="inlineStr">
        <is>
          <t>Đã gộp trong số dư chốt 07/05/2026</t>
        </is>
      </c>
      <c r="N76" s="48" t="inlineStr">
        <is>
          <t>Sheet1!A79:J79</t>
        </is>
      </c>
    </row>
    <row r="77">
      <c r="A77" s="48" t="inlineStr">
        <is>
          <t>NH-0076</t>
        </is>
      </c>
      <c r="B77" s="48" t="inlineStr"/>
      <c r="C77" s="48" t="inlineStr">
        <is>
          <t>Long</t>
        </is>
      </c>
      <c r="D77" s="48" t="inlineStr"/>
      <c r="E77" s="48" t="inlineStr">
        <is>
          <t>Bộ vỏ 4s</t>
        </is>
      </c>
      <c r="F77" s="48" t="inlineStr">
        <is>
          <t>Vật tư/đồ nghề</t>
        </is>
      </c>
      <c r="G77" s="48" t="n">
        <v>4</v>
      </c>
      <c r="H77" s="48" t="inlineStr"/>
      <c r="I77" s="53" t="n">
        <v>25000</v>
      </c>
      <c r="J77" s="53" t="n">
        <v>100000</v>
      </c>
      <c r="K77" s="48" t="inlineStr">
        <is>
          <t>Có</t>
        </is>
      </c>
      <c r="L77" s="48" t="inlineStr">
        <is>
          <t>Không</t>
        </is>
      </c>
      <c r="M77" s="48" t="inlineStr">
        <is>
          <t>Đã gộp trong số dư chốt 07/05/2026</t>
        </is>
      </c>
      <c r="N77" s="48" t="inlineStr">
        <is>
          <t>Sheet1!A80:J80</t>
        </is>
      </c>
    </row>
    <row r="78">
      <c r="A78" s="48" t="inlineStr">
        <is>
          <t>NH-0077</t>
        </is>
      </c>
      <c r="B78" s="48" t="inlineStr"/>
      <c r="C78" s="48" t="inlineStr">
        <is>
          <t>Long</t>
        </is>
      </c>
      <c r="D78" s="48" t="inlineStr"/>
      <c r="E78" s="48" t="inlineStr">
        <is>
          <t>Ông ck cho long 2000000</t>
        </is>
      </c>
      <c r="F78" s="48" t="inlineStr">
        <is>
          <t>Vật tư/đồ nghề</t>
        </is>
      </c>
      <c r="G78" s="48" t="inlineStr"/>
      <c r="H78" s="48" t="inlineStr"/>
      <c r="I78" s="53" t="inlineStr"/>
      <c r="J78" s="53" t="inlineStr"/>
      <c r="K78" s="48" t="inlineStr">
        <is>
          <t>Có</t>
        </is>
      </c>
      <c r="L78" s="48" t="inlineStr">
        <is>
          <t>Không</t>
        </is>
      </c>
      <c r="M78" s="48" t="inlineStr">
        <is>
          <t>Đã gộp trong số dư chốt 07/05/2026</t>
        </is>
      </c>
      <c r="N78" s="48" t="inlineStr">
        <is>
          <t>Sheet1!A82:J82</t>
        </is>
      </c>
    </row>
    <row r="79">
      <c r="A79" s="48" t="inlineStr">
        <is>
          <t>NH-0078</t>
        </is>
      </c>
      <c r="B79" s="48" t="inlineStr"/>
      <c r="C79" s="48" t="inlineStr">
        <is>
          <t>Long</t>
        </is>
      </c>
      <c r="D79" s="48" t="inlineStr"/>
      <c r="E79" s="48" t="inlineStr">
        <is>
          <t>ss 50</t>
        </is>
      </c>
      <c r="F79" s="48" t="inlineStr">
        <is>
          <t>Vật tư/đồ nghề</t>
        </is>
      </c>
      <c r="G79" s="48" t="n">
        <v>93</v>
      </c>
      <c r="H79" s="48" t="inlineStr"/>
      <c r="I79" s="53" t="n">
        <v>51000</v>
      </c>
      <c r="J79" s="53" t="n">
        <v>4743000</v>
      </c>
      <c r="K79" s="48" t="inlineStr">
        <is>
          <t>Có</t>
        </is>
      </c>
      <c r="L79" s="48" t="inlineStr">
        <is>
          <t>Không</t>
        </is>
      </c>
      <c r="M79" s="48" t="inlineStr">
        <is>
          <t>Đã gộp trong số dư chốt 07/05/2026</t>
        </is>
      </c>
      <c r="N79" s="48" t="inlineStr">
        <is>
          <t>Sheet1!A83:J83</t>
        </is>
      </c>
    </row>
    <row r="80">
      <c r="A80" s="48" t="inlineStr">
        <is>
          <t>NH-0079</t>
        </is>
      </c>
      <c r="B80" s="48" t="inlineStr"/>
      <c r="C80" s="48" t="inlineStr">
        <is>
          <t>Long</t>
        </is>
      </c>
      <c r="D80" s="48" t="inlineStr"/>
      <c r="E80" s="48" t="inlineStr">
        <is>
          <t>đã tính xong ông còn nợ lại long 20230000</t>
        </is>
      </c>
      <c r="F80" s="48" t="inlineStr">
        <is>
          <t>Vật tư/đồ nghề</t>
        </is>
      </c>
      <c r="G80" s="48" t="inlineStr"/>
      <c r="H80" s="48" t="inlineStr"/>
      <c r="I80" s="53" t="inlineStr"/>
      <c r="J80" s="53" t="inlineStr"/>
      <c r="K80" s="48" t="inlineStr">
        <is>
          <t>Có</t>
        </is>
      </c>
      <c r="L80" s="48" t="inlineStr">
        <is>
          <t>Không</t>
        </is>
      </c>
      <c r="M80" s="48" t="inlineStr">
        <is>
          <t>Đã gộp trong số dư chốt 07/05/2026</t>
        </is>
      </c>
      <c r="N80" s="48" t="inlineStr">
        <is>
          <t>Sheet1!A84:J84</t>
        </is>
      </c>
    </row>
    <row r="81">
      <c r="A81" s="48" t="inlineStr">
        <is>
          <t>NH-0080</t>
        </is>
      </c>
      <c r="B81" s="48" t="n"/>
      <c r="C81" s="48" t="inlineStr">
        <is>
          <t>Long</t>
        </is>
      </c>
      <c r="D81" s="48" t="n"/>
      <c r="E81" s="48" t="n"/>
      <c r="F81" s="48" t="n"/>
      <c r="G81" s="48" t="n"/>
      <c r="H81" s="48" t="n"/>
      <c r="I81" s="53" t="n"/>
      <c r="J81" s="53">
        <f>IF(OR(G81="",I81=""),"",G81*I81)</f>
        <v/>
      </c>
      <c r="K81" s="48" t="inlineStr">
        <is>
          <t>Có</t>
        </is>
      </c>
      <c r="L81" s="48" t="inlineStr">
        <is>
          <t>Có</t>
        </is>
      </c>
      <c r="M81" s="48" t="n"/>
      <c r="N81" s="48" t="n"/>
    </row>
    <row r="82">
      <c r="A82" s="48" t="inlineStr">
        <is>
          <t>NH-0081</t>
        </is>
      </c>
      <c r="B82" s="48" t="n"/>
      <c r="C82" s="48" t="inlineStr">
        <is>
          <t>Long</t>
        </is>
      </c>
      <c r="D82" s="48" t="n"/>
      <c r="E82" s="48" t="n"/>
      <c r="F82" s="48" t="n"/>
      <c r="G82" s="48" t="n"/>
      <c r="H82" s="48" t="n"/>
      <c r="I82" s="53" t="n"/>
      <c r="J82" s="53">
        <f>IF(OR(G82="",I82=""),"",G82*I82)</f>
        <v/>
      </c>
      <c r="K82" s="48" t="inlineStr">
        <is>
          <t>Có</t>
        </is>
      </c>
      <c r="L82" s="48" t="inlineStr">
        <is>
          <t>Có</t>
        </is>
      </c>
      <c r="M82" s="48" t="n"/>
      <c r="N82" s="48" t="n"/>
    </row>
    <row r="83">
      <c r="A83" s="48" t="inlineStr">
        <is>
          <t>NH-0082</t>
        </is>
      </c>
      <c r="B83" s="48" t="n"/>
      <c r="C83" s="48" t="inlineStr">
        <is>
          <t>Long</t>
        </is>
      </c>
      <c r="D83" s="48" t="n"/>
      <c r="E83" s="48" t="n"/>
      <c r="F83" s="48" t="n"/>
      <c r="G83" s="48" t="n"/>
      <c r="H83" s="48" t="n"/>
      <c r="I83" s="53" t="n"/>
      <c r="J83" s="53">
        <f>IF(OR(G83="",I83=""),"",G83*I83)</f>
        <v/>
      </c>
      <c r="K83" s="48" t="inlineStr">
        <is>
          <t>Có</t>
        </is>
      </c>
      <c r="L83" s="48" t="inlineStr">
        <is>
          <t>Có</t>
        </is>
      </c>
      <c r="M83" s="48" t="n"/>
      <c r="N83" s="48" t="n"/>
    </row>
    <row r="84">
      <c r="A84" s="48" t="inlineStr">
        <is>
          <t>NH-0083</t>
        </is>
      </c>
      <c r="B84" s="48" t="n"/>
      <c r="C84" s="48" t="inlineStr">
        <is>
          <t>Long</t>
        </is>
      </c>
      <c r="D84" s="48" t="n"/>
      <c r="E84" s="48" t="n"/>
      <c r="F84" s="48" t="n"/>
      <c r="G84" s="48" t="n"/>
      <c r="H84" s="48" t="n"/>
      <c r="I84" s="53" t="n"/>
      <c r="J84" s="53">
        <f>IF(OR(G84="",I84=""),"",G84*I84)</f>
        <v/>
      </c>
      <c r="K84" s="48" t="inlineStr">
        <is>
          <t>Có</t>
        </is>
      </c>
      <c r="L84" s="48" t="inlineStr">
        <is>
          <t>Có</t>
        </is>
      </c>
      <c r="M84" s="48" t="n"/>
      <c r="N84" s="48" t="n"/>
    </row>
    <row r="85">
      <c r="A85" s="48" t="inlineStr">
        <is>
          <t>NH-0084</t>
        </is>
      </c>
      <c r="B85" s="48" t="n"/>
      <c r="C85" s="48" t="inlineStr">
        <is>
          <t>Long</t>
        </is>
      </c>
      <c r="D85" s="48" t="n"/>
      <c r="E85" s="48" t="n"/>
      <c r="F85" s="48" t="n"/>
      <c r="G85" s="48" t="n"/>
      <c r="H85" s="48" t="n"/>
      <c r="I85" s="53" t="n"/>
      <c r="J85" s="53">
        <f>IF(OR(G85="",I85=""),"",G85*I85)</f>
        <v/>
      </c>
      <c r="K85" s="48" t="inlineStr">
        <is>
          <t>Có</t>
        </is>
      </c>
      <c r="L85" s="48" t="inlineStr">
        <is>
          <t>Có</t>
        </is>
      </c>
      <c r="M85" s="48" t="n"/>
      <c r="N85" s="48" t="n"/>
    </row>
    <row r="86">
      <c r="A86" s="48" t="inlineStr">
        <is>
          <t>NH-0085</t>
        </is>
      </c>
      <c r="B86" s="48" t="n"/>
      <c r="C86" s="48" t="inlineStr">
        <is>
          <t>Long</t>
        </is>
      </c>
      <c r="D86" s="48" t="n"/>
      <c r="E86" s="48" t="n"/>
      <c r="F86" s="48" t="n"/>
      <c r="G86" s="48" t="n"/>
      <c r="H86" s="48" t="n"/>
      <c r="I86" s="53" t="n"/>
      <c r="J86" s="53">
        <f>IF(OR(G86="",I86=""),"",G86*I86)</f>
        <v/>
      </c>
      <c r="K86" s="48" t="inlineStr">
        <is>
          <t>Có</t>
        </is>
      </c>
      <c r="L86" s="48" t="inlineStr">
        <is>
          <t>Có</t>
        </is>
      </c>
      <c r="M86" s="48" t="n"/>
      <c r="N86" s="48" t="n"/>
    </row>
    <row r="87">
      <c r="A87" s="48" t="inlineStr">
        <is>
          <t>NH-0086</t>
        </is>
      </c>
      <c r="B87" s="48" t="n"/>
      <c r="C87" s="48" t="inlineStr">
        <is>
          <t>Long</t>
        </is>
      </c>
      <c r="D87" s="48" t="n"/>
      <c r="E87" s="48" t="n"/>
      <c r="F87" s="48" t="n"/>
      <c r="G87" s="48" t="n"/>
      <c r="H87" s="48" t="n"/>
      <c r="I87" s="53" t="n"/>
      <c r="J87" s="53">
        <f>IF(OR(G87="",I87=""),"",G87*I87)</f>
        <v/>
      </c>
      <c r="K87" s="48" t="inlineStr">
        <is>
          <t>Có</t>
        </is>
      </c>
      <c r="L87" s="48" t="inlineStr">
        <is>
          <t>Có</t>
        </is>
      </c>
      <c r="M87" s="48" t="n"/>
      <c r="N87" s="48" t="n"/>
    </row>
    <row r="88">
      <c r="A88" s="48" t="inlineStr">
        <is>
          <t>NH-0087</t>
        </is>
      </c>
      <c r="B88" s="48" t="n"/>
      <c r="C88" s="48" t="inlineStr">
        <is>
          <t>Long</t>
        </is>
      </c>
      <c r="D88" s="48" t="n"/>
      <c r="E88" s="48" t="n"/>
      <c r="F88" s="48" t="n"/>
      <c r="G88" s="48" t="n"/>
      <c r="H88" s="48" t="n"/>
      <c r="I88" s="53" t="n"/>
      <c r="J88" s="53">
        <f>IF(OR(G88="",I88=""),"",G88*I88)</f>
        <v/>
      </c>
      <c r="K88" s="48" t="inlineStr">
        <is>
          <t>Có</t>
        </is>
      </c>
      <c r="L88" s="48" t="inlineStr">
        <is>
          <t>Có</t>
        </is>
      </c>
      <c r="M88" s="48" t="n"/>
      <c r="N88" s="48" t="n"/>
    </row>
    <row r="89">
      <c r="A89" s="48" t="inlineStr">
        <is>
          <t>NH-0088</t>
        </is>
      </c>
      <c r="B89" s="48" t="n"/>
      <c r="C89" s="48" t="inlineStr">
        <is>
          <t>Long</t>
        </is>
      </c>
      <c r="D89" s="48" t="n"/>
      <c r="E89" s="48" t="n"/>
      <c r="F89" s="48" t="n"/>
      <c r="G89" s="48" t="n"/>
      <c r="H89" s="48" t="n"/>
      <c r="I89" s="53" t="n"/>
      <c r="J89" s="53">
        <f>IF(OR(G89="",I89=""),"",G89*I89)</f>
        <v/>
      </c>
      <c r="K89" s="48" t="inlineStr">
        <is>
          <t>Có</t>
        </is>
      </c>
      <c r="L89" s="48" t="inlineStr">
        <is>
          <t>Có</t>
        </is>
      </c>
      <c r="M89" s="48" t="n"/>
      <c r="N89" s="48" t="n"/>
    </row>
    <row r="90">
      <c r="A90" s="48" t="inlineStr">
        <is>
          <t>NH-0089</t>
        </is>
      </c>
      <c r="B90" s="48" t="n"/>
      <c r="C90" s="48" t="inlineStr">
        <is>
          <t>Long</t>
        </is>
      </c>
      <c r="D90" s="48" t="n"/>
      <c r="E90" s="48" t="n"/>
      <c r="F90" s="48" t="n"/>
      <c r="G90" s="48" t="n"/>
      <c r="H90" s="48" t="n"/>
      <c r="I90" s="53" t="n"/>
      <c r="J90" s="53">
        <f>IF(OR(G90="",I90=""),"",G90*I90)</f>
        <v/>
      </c>
      <c r="K90" s="48" t="inlineStr">
        <is>
          <t>Có</t>
        </is>
      </c>
      <c r="L90" s="48" t="inlineStr">
        <is>
          <t>Có</t>
        </is>
      </c>
      <c r="M90" s="48" t="n"/>
      <c r="N90" s="48" t="n"/>
    </row>
    <row r="91">
      <c r="A91" s="48" t="inlineStr">
        <is>
          <t>NH-0090</t>
        </is>
      </c>
      <c r="B91" s="48" t="n"/>
      <c r="C91" s="48" t="inlineStr">
        <is>
          <t>Long</t>
        </is>
      </c>
      <c r="D91" s="48" t="n"/>
      <c r="E91" s="48" t="n"/>
      <c r="F91" s="48" t="n"/>
      <c r="G91" s="48" t="n"/>
      <c r="H91" s="48" t="n"/>
      <c r="I91" s="53" t="n"/>
      <c r="J91" s="53">
        <f>IF(OR(G91="",I91=""),"",G91*I91)</f>
        <v/>
      </c>
      <c r="K91" s="48" t="inlineStr">
        <is>
          <t>Có</t>
        </is>
      </c>
      <c r="L91" s="48" t="inlineStr">
        <is>
          <t>Có</t>
        </is>
      </c>
      <c r="M91" s="48" t="n"/>
      <c r="N91" s="48" t="n"/>
    </row>
    <row r="92">
      <c r="A92" s="48" t="inlineStr">
        <is>
          <t>NH-0091</t>
        </is>
      </c>
      <c r="B92" s="48" t="n"/>
      <c r="C92" s="48" t="inlineStr">
        <is>
          <t>Long</t>
        </is>
      </c>
      <c r="D92" s="48" t="n"/>
      <c r="E92" s="48" t="n"/>
      <c r="F92" s="48" t="n"/>
      <c r="G92" s="48" t="n"/>
      <c r="H92" s="48" t="n"/>
      <c r="I92" s="53" t="n"/>
      <c r="J92" s="53">
        <f>IF(OR(G92="",I92=""),"",G92*I92)</f>
        <v/>
      </c>
      <c r="K92" s="48" t="inlineStr">
        <is>
          <t>Có</t>
        </is>
      </c>
      <c r="L92" s="48" t="inlineStr">
        <is>
          <t>Có</t>
        </is>
      </c>
      <c r="M92" s="48" t="n"/>
      <c r="N92" s="48" t="n"/>
    </row>
    <row r="93">
      <c r="A93" s="48" t="inlineStr">
        <is>
          <t>NH-0092</t>
        </is>
      </c>
      <c r="B93" s="48" t="n"/>
      <c r="C93" s="48" t="inlineStr">
        <is>
          <t>Long</t>
        </is>
      </c>
      <c r="D93" s="48" t="n"/>
      <c r="E93" s="48" t="n"/>
      <c r="F93" s="48" t="n"/>
      <c r="G93" s="48" t="n"/>
      <c r="H93" s="48" t="n"/>
      <c r="I93" s="53" t="n"/>
      <c r="J93" s="53">
        <f>IF(OR(G93="",I93=""),"",G93*I93)</f>
        <v/>
      </c>
      <c r="K93" s="48" t="inlineStr">
        <is>
          <t>Có</t>
        </is>
      </c>
      <c r="L93" s="48" t="inlineStr">
        <is>
          <t>Có</t>
        </is>
      </c>
      <c r="M93" s="48" t="n"/>
      <c r="N93" s="48" t="n"/>
    </row>
    <row r="94">
      <c r="A94" s="48" t="inlineStr">
        <is>
          <t>NH-0093</t>
        </is>
      </c>
      <c r="B94" s="48" t="n"/>
      <c r="C94" s="48" t="inlineStr">
        <is>
          <t>Long</t>
        </is>
      </c>
      <c r="D94" s="48" t="n"/>
      <c r="E94" s="48" t="n"/>
      <c r="F94" s="48" t="n"/>
      <c r="G94" s="48" t="n"/>
      <c r="H94" s="48" t="n"/>
      <c r="I94" s="53" t="n"/>
      <c r="J94" s="53">
        <f>IF(OR(G94="",I94=""),"",G94*I94)</f>
        <v/>
      </c>
      <c r="K94" s="48" t="inlineStr">
        <is>
          <t>Có</t>
        </is>
      </c>
      <c r="L94" s="48" t="inlineStr">
        <is>
          <t>Có</t>
        </is>
      </c>
      <c r="M94" s="48" t="n"/>
      <c r="N94" s="48" t="n"/>
    </row>
    <row r="95">
      <c r="A95" s="48" t="inlineStr">
        <is>
          <t>NH-0094</t>
        </is>
      </c>
      <c r="B95" s="48" t="n"/>
      <c r="C95" s="48" t="inlineStr">
        <is>
          <t>Long</t>
        </is>
      </c>
      <c r="D95" s="48" t="n"/>
      <c r="E95" s="48" t="n"/>
      <c r="F95" s="48" t="n"/>
      <c r="G95" s="48" t="n"/>
      <c r="H95" s="48" t="n"/>
      <c r="I95" s="53" t="n"/>
      <c r="J95" s="53">
        <f>IF(OR(G95="",I95=""),"",G95*I95)</f>
        <v/>
      </c>
      <c r="K95" s="48" t="inlineStr">
        <is>
          <t>Có</t>
        </is>
      </c>
      <c r="L95" s="48" t="inlineStr">
        <is>
          <t>Có</t>
        </is>
      </c>
      <c r="M95" s="48" t="n"/>
      <c r="N95" s="48" t="n"/>
    </row>
    <row r="96">
      <c r="A96" s="48" t="inlineStr">
        <is>
          <t>NH-0095</t>
        </is>
      </c>
      <c r="B96" s="48" t="n"/>
      <c r="C96" s="48" t="inlineStr">
        <is>
          <t>Long</t>
        </is>
      </c>
      <c r="D96" s="48" t="n"/>
      <c r="E96" s="48" t="n"/>
      <c r="F96" s="48" t="n"/>
      <c r="G96" s="48" t="n"/>
      <c r="H96" s="48" t="n"/>
      <c r="I96" s="53" t="n"/>
      <c r="J96" s="53">
        <f>IF(OR(G96="",I96=""),"",G96*I96)</f>
        <v/>
      </c>
      <c r="K96" s="48" t="inlineStr">
        <is>
          <t>Có</t>
        </is>
      </c>
      <c r="L96" s="48" t="inlineStr">
        <is>
          <t>Có</t>
        </is>
      </c>
      <c r="M96" s="48" t="n"/>
      <c r="N96" s="48" t="n"/>
    </row>
    <row r="97">
      <c r="A97" s="48" t="inlineStr">
        <is>
          <t>NH-0096</t>
        </is>
      </c>
      <c r="B97" s="48" t="n"/>
      <c r="C97" s="48" t="inlineStr">
        <is>
          <t>Long</t>
        </is>
      </c>
      <c r="D97" s="48" t="n"/>
      <c r="E97" s="48" t="n"/>
      <c r="F97" s="48" t="n"/>
      <c r="G97" s="48" t="n"/>
      <c r="H97" s="48" t="n"/>
      <c r="I97" s="53" t="n"/>
      <c r="J97" s="53">
        <f>IF(OR(G97="",I97=""),"",G97*I97)</f>
        <v/>
      </c>
      <c r="K97" s="48" t="inlineStr">
        <is>
          <t>Có</t>
        </is>
      </c>
      <c r="L97" s="48" t="inlineStr">
        <is>
          <t>Có</t>
        </is>
      </c>
      <c r="M97" s="48" t="n"/>
      <c r="N97" s="48" t="n"/>
    </row>
    <row r="98">
      <c r="A98" s="48" t="inlineStr">
        <is>
          <t>NH-0097</t>
        </is>
      </c>
      <c r="B98" s="48" t="n"/>
      <c r="C98" s="48" t="inlineStr">
        <is>
          <t>Long</t>
        </is>
      </c>
      <c r="D98" s="48" t="n"/>
      <c r="E98" s="48" t="n"/>
      <c r="F98" s="48" t="n"/>
      <c r="G98" s="48" t="n"/>
      <c r="H98" s="48" t="n"/>
      <c r="I98" s="53" t="n"/>
      <c r="J98" s="53">
        <f>IF(OR(G98="",I98=""),"",G98*I98)</f>
        <v/>
      </c>
      <c r="K98" s="48" t="inlineStr">
        <is>
          <t>Có</t>
        </is>
      </c>
      <c r="L98" s="48" t="inlineStr">
        <is>
          <t>Có</t>
        </is>
      </c>
      <c r="M98" s="48" t="n"/>
      <c r="N98" s="48" t="n"/>
    </row>
    <row r="99">
      <c r="A99" s="48" t="inlineStr">
        <is>
          <t>NH-0098</t>
        </is>
      </c>
      <c r="B99" s="48" t="n"/>
      <c r="C99" s="48" t="inlineStr">
        <is>
          <t>Long</t>
        </is>
      </c>
      <c r="D99" s="48" t="n"/>
      <c r="E99" s="48" t="n"/>
      <c r="F99" s="48" t="n"/>
      <c r="G99" s="48" t="n"/>
      <c r="H99" s="48" t="n"/>
      <c r="I99" s="53" t="n"/>
      <c r="J99" s="53">
        <f>IF(OR(G99="",I99=""),"",G99*I99)</f>
        <v/>
      </c>
      <c r="K99" s="48" t="inlineStr">
        <is>
          <t>Có</t>
        </is>
      </c>
      <c r="L99" s="48" t="inlineStr">
        <is>
          <t>Có</t>
        </is>
      </c>
      <c r="M99" s="48" t="n"/>
      <c r="N99" s="48" t="n"/>
    </row>
    <row r="100">
      <c r="A100" s="48" t="inlineStr">
        <is>
          <t>NH-0099</t>
        </is>
      </c>
      <c r="B100" s="48" t="n"/>
      <c r="C100" s="48" t="inlineStr">
        <is>
          <t>Long</t>
        </is>
      </c>
      <c r="D100" s="48" t="n"/>
      <c r="E100" s="48" t="n"/>
      <c r="F100" s="48" t="n"/>
      <c r="G100" s="48" t="n"/>
      <c r="H100" s="48" t="n"/>
      <c r="I100" s="53" t="n"/>
      <c r="J100" s="53">
        <f>IF(OR(G100="",I100=""),"",G100*I100)</f>
        <v/>
      </c>
      <c r="K100" s="48" t="inlineStr">
        <is>
          <t>Có</t>
        </is>
      </c>
      <c r="L100" s="48" t="inlineStr">
        <is>
          <t>Có</t>
        </is>
      </c>
      <c r="M100" s="48" t="n"/>
      <c r="N100" s="48" t="n"/>
    </row>
    <row r="101">
      <c r="A101" s="48" t="inlineStr">
        <is>
          <t>NH-0100</t>
        </is>
      </c>
      <c r="B101" s="48" t="n"/>
      <c r="C101" s="48" t="inlineStr">
        <is>
          <t>Long</t>
        </is>
      </c>
      <c r="D101" s="48" t="n"/>
      <c r="E101" s="48" t="n"/>
      <c r="F101" s="48" t="n"/>
      <c r="G101" s="48" t="n"/>
      <c r="H101" s="48" t="n"/>
      <c r="I101" s="53" t="n"/>
      <c r="J101" s="53">
        <f>IF(OR(G101="",I101=""),"",G101*I101)</f>
        <v/>
      </c>
      <c r="K101" s="48" t="inlineStr">
        <is>
          <t>Có</t>
        </is>
      </c>
      <c r="L101" s="48" t="inlineStr">
        <is>
          <t>Có</t>
        </is>
      </c>
      <c r="M101" s="48" t="n"/>
      <c r="N101" s="48" t="n"/>
    </row>
    <row r="102">
      <c r="A102" s="48" t="inlineStr">
        <is>
          <t>NH-0101</t>
        </is>
      </c>
      <c r="B102" s="48" t="n"/>
      <c r="C102" s="48" t="inlineStr">
        <is>
          <t>Long</t>
        </is>
      </c>
      <c r="D102" s="48" t="n"/>
      <c r="E102" s="48" t="n"/>
      <c r="F102" s="48" t="n"/>
      <c r="G102" s="48" t="n"/>
      <c r="H102" s="48" t="n"/>
      <c r="I102" s="53" t="n"/>
      <c r="J102" s="53">
        <f>IF(OR(G102="",I102=""),"",G102*I102)</f>
        <v/>
      </c>
      <c r="K102" s="48" t="inlineStr">
        <is>
          <t>Có</t>
        </is>
      </c>
      <c r="L102" s="48" t="inlineStr">
        <is>
          <t>Có</t>
        </is>
      </c>
      <c r="M102" s="48" t="n"/>
      <c r="N102" s="48" t="n"/>
    </row>
    <row r="103">
      <c r="A103" s="48" t="inlineStr">
        <is>
          <t>NH-0102</t>
        </is>
      </c>
      <c r="B103" s="48" t="n"/>
      <c r="C103" s="48" t="inlineStr">
        <is>
          <t>Long</t>
        </is>
      </c>
      <c r="D103" s="48" t="n"/>
      <c r="E103" s="48" t="n"/>
      <c r="F103" s="48" t="n"/>
      <c r="G103" s="48" t="n"/>
      <c r="H103" s="48" t="n"/>
      <c r="I103" s="53" t="n"/>
      <c r="J103" s="53">
        <f>IF(OR(G103="",I103=""),"",G103*I103)</f>
        <v/>
      </c>
      <c r="K103" s="48" t="inlineStr">
        <is>
          <t>Có</t>
        </is>
      </c>
      <c r="L103" s="48" t="inlineStr">
        <is>
          <t>Có</t>
        </is>
      </c>
      <c r="M103" s="48" t="n"/>
      <c r="N103" s="48" t="n"/>
    </row>
    <row r="104">
      <c r="A104" s="48" t="inlineStr">
        <is>
          <t>NH-0103</t>
        </is>
      </c>
      <c r="B104" s="48" t="n"/>
      <c r="C104" s="48" t="inlineStr">
        <is>
          <t>Long</t>
        </is>
      </c>
      <c r="D104" s="48" t="n"/>
      <c r="E104" s="48" t="n"/>
      <c r="F104" s="48" t="n"/>
      <c r="G104" s="48" t="n"/>
      <c r="H104" s="48" t="n"/>
      <c r="I104" s="53" t="n"/>
      <c r="J104" s="53">
        <f>IF(OR(G104="",I104=""),"",G104*I104)</f>
        <v/>
      </c>
      <c r="K104" s="48" t="inlineStr">
        <is>
          <t>Có</t>
        </is>
      </c>
      <c r="L104" s="48" t="inlineStr">
        <is>
          <t>Có</t>
        </is>
      </c>
      <c r="M104" s="48" t="n"/>
      <c r="N104" s="48" t="n"/>
    </row>
    <row r="105">
      <c r="A105" s="48" t="inlineStr">
        <is>
          <t>NH-0104</t>
        </is>
      </c>
      <c r="B105" s="48" t="n"/>
      <c r="C105" s="48" t="inlineStr">
        <is>
          <t>Long</t>
        </is>
      </c>
      <c r="D105" s="48" t="n"/>
      <c r="E105" s="48" t="n"/>
      <c r="F105" s="48" t="n"/>
      <c r="G105" s="48" t="n"/>
      <c r="H105" s="48" t="n"/>
      <c r="I105" s="53" t="n"/>
      <c r="J105" s="53">
        <f>IF(OR(G105="",I105=""),"",G105*I105)</f>
        <v/>
      </c>
      <c r="K105" s="48" t="inlineStr">
        <is>
          <t>Có</t>
        </is>
      </c>
      <c r="L105" s="48" t="inlineStr">
        <is>
          <t>Có</t>
        </is>
      </c>
      <c r="M105" s="48" t="n"/>
      <c r="N105" s="48" t="n"/>
    </row>
    <row r="106">
      <c r="A106" s="48" t="inlineStr">
        <is>
          <t>NH-0105</t>
        </is>
      </c>
      <c r="B106" s="48" t="n"/>
      <c r="C106" s="48" t="inlineStr">
        <is>
          <t>Long</t>
        </is>
      </c>
      <c r="D106" s="48" t="n"/>
      <c r="E106" s="48" t="n"/>
      <c r="F106" s="48" t="n"/>
      <c r="G106" s="48" t="n"/>
      <c r="H106" s="48" t="n"/>
      <c r="I106" s="53" t="n"/>
      <c r="J106" s="53">
        <f>IF(OR(G106="",I106=""),"",G106*I106)</f>
        <v/>
      </c>
      <c r="K106" s="48" t="inlineStr">
        <is>
          <t>Có</t>
        </is>
      </c>
      <c r="L106" s="48" t="inlineStr">
        <is>
          <t>Có</t>
        </is>
      </c>
      <c r="M106" s="48" t="n"/>
      <c r="N106" s="48" t="n"/>
    </row>
    <row r="107">
      <c r="A107" s="48" t="inlineStr">
        <is>
          <t>NH-0106</t>
        </is>
      </c>
      <c r="B107" s="48" t="n"/>
      <c r="C107" s="48" t="inlineStr">
        <is>
          <t>Long</t>
        </is>
      </c>
      <c r="D107" s="48" t="n"/>
      <c r="E107" s="48" t="n"/>
      <c r="F107" s="48" t="n"/>
      <c r="G107" s="48" t="n"/>
      <c r="H107" s="48" t="n"/>
      <c r="I107" s="53" t="n"/>
      <c r="J107" s="53">
        <f>IF(OR(G107="",I107=""),"",G107*I107)</f>
        <v/>
      </c>
      <c r="K107" s="48" t="inlineStr">
        <is>
          <t>Có</t>
        </is>
      </c>
      <c r="L107" s="48" t="inlineStr">
        <is>
          <t>Có</t>
        </is>
      </c>
      <c r="M107" s="48" t="n"/>
      <c r="N107" s="48" t="n"/>
    </row>
    <row r="108">
      <c r="A108" s="48" t="inlineStr">
        <is>
          <t>NH-0107</t>
        </is>
      </c>
      <c r="B108" s="48" t="n"/>
      <c r="C108" s="48" t="inlineStr">
        <is>
          <t>Long</t>
        </is>
      </c>
      <c r="D108" s="48" t="n"/>
      <c r="E108" s="48" t="n"/>
      <c r="F108" s="48" t="n"/>
      <c r="G108" s="48" t="n"/>
      <c r="H108" s="48" t="n"/>
      <c r="I108" s="53" t="n"/>
      <c r="J108" s="53">
        <f>IF(OR(G108="",I108=""),"",G108*I108)</f>
        <v/>
      </c>
      <c r="K108" s="48" t="inlineStr">
        <is>
          <t>Có</t>
        </is>
      </c>
      <c r="L108" s="48" t="inlineStr">
        <is>
          <t>Có</t>
        </is>
      </c>
      <c r="M108" s="48" t="n"/>
      <c r="N108" s="48" t="n"/>
    </row>
    <row r="109">
      <c r="A109" s="48" t="inlineStr">
        <is>
          <t>NH-0108</t>
        </is>
      </c>
      <c r="B109" s="48" t="n"/>
      <c r="C109" s="48" t="inlineStr">
        <is>
          <t>Long</t>
        </is>
      </c>
      <c r="D109" s="48" t="n"/>
      <c r="E109" s="48" t="n"/>
      <c r="F109" s="48" t="n"/>
      <c r="G109" s="48" t="n"/>
      <c r="H109" s="48" t="n"/>
      <c r="I109" s="53" t="n"/>
      <c r="J109" s="53">
        <f>IF(OR(G109="",I109=""),"",G109*I109)</f>
        <v/>
      </c>
      <c r="K109" s="48" t="inlineStr">
        <is>
          <t>Có</t>
        </is>
      </c>
      <c r="L109" s="48" t="inlineStr">
        <is>
          <t>Có</t>
        </is>
      </c>
      <c r="M109" s="48" t="n"/>
      <c r="N109" s="48" t="n"/>
    </row>
    <row r="110">
      <c r="A110" s="48" t="inlineStr">
        <is>
          <t>NH-0109</t>
        </is>
      </c>
      <c r="B110" s="48" t="n"/>
      <c r="C110" s="48" t="inlineStr">
        <is>
          <t>Long</t>
        </is>
      </c>
      <c r="D110" s="48" t="n"/>
      <c r="E110" s="48" t="n"/>
      <c r="F110" s="48" t="n"/>
      <c r="G110" s="48" t="n"/>
      <c r="H110" s="48" t="n"/>
      <c r="I110" s="53" t="n"/>
      <c r="J110" s="53">
        <f>IF(OR(G110="",I110=""),"",G110*I110)</f>
        <v/>
      </c>
      <c r="K110" s="48" t="inlineStr">
        <is>
          <t>Có</t>
        </is>
      </c>
      <c r="L110" s="48" t="inlineStr">
        <is>
          <t>Có</t>
        </is>
      </c>
      <c r="M110" s="48" t="n"/>
      <c r="N110" s="48" t="n"/>
    </row>
    <row r="111">
      <c r="A111" s="48" t="inlineStr">
        <is>
          <t>NH-0110</t>
        </is>
      </c>
      <c r="B111" s="48" t="n"/>
      <c r="C111" s="48" t="inlineStr">
        <is>
          <t>Long</t>
        </is>
      </c>
      <c r="D111" s="48" t="n"/>
      <c r="E111" s="48" t="n"/>
      <c r="F111" s="48" t="n"/>
      <c r="G111" s="48" t="n"/>
      <c r="H111" s="48" t="n"/>
      <c r="I111" s="53" t="n"/>
      <c r="J111" s="53">
        <f>IF(OR(G111="",I111=""),"",G111*I111)</f>
        <v/>
      </c>
      <c r="K111" s="48" t="inlineStr">
        <is>
          <t>Có</t>
        </is>
      </c>
      <c r="L111" s="48" t="inlineStr">
        <is>
          <t>Có</t>
        </is>
      </c>
      <c r="M111" s="48" t="n"/>
      <c r="N111" s="48" t="n"/>
    </row>
    <row r="112">
      <c r="A112" s="48" t="inlineStr">
        <is>
          <t>NH-0111</t>
        </is>
      </c>
      <c r="B112" s="48" t="n"/>
      <c r="C112" s="48" t="inlineStr">
        <is>
          <t>Long</t>
        </is>
      </c>
      <c r="D112" s="48" t="n"/>
      <c r="E112" s="48" t="n"/>
      <c r="F112" s="48" t="n"/>
      <c r="G112" s="48" t="n"/>
      <c r="H112" s="48" t="n"/>
      <c r="I112" s="53" t="n"/>
      <c r="J112" s="53">
        <f>IF(OR(G112="",I112=""),"",G112*I112)</f>
        <v/>
      </c>
      <c r="K112" s="48" t="inlineStr">
        <is>
          <t>Có</t>
        </is>
      </c>
      <c r="L112" s="48" t="inlineStr">
        <is>
          <t>Có</t>
        </is>
      </c>
      <c r="M112" s="48" t="n"/>
      <c r="N112" s="48" t="n"/>
    </row>
    <row r="113">
      <c r="A113" s="48" t="inlineStr">
        <is>
          <t>NH-0112</t>
        </is>
      </c>
      <c r="B113" s="48" t="n"/>
      <c r="C113" s="48" t="inlineStr">
        <is>
          <t>Long</t>
        </is>
      </c>
      <c r="D113" s="48" t="n"/>
      <c r="E113" s="48" t="n"/>
      <c r="F113" s="48" t="n"/>
      <c r="G113" s="48" t="n"/>
      <c r="H113" s="48" t="n"/>
      <c r="I113" s="53" t="n"/>
      <c r="J113" s="53">
        <f>IF(OR(G113="",I113=""),"",G113*I113)</f>
        <v/>
      </c>
      <c r="K113" s="48" t="inlineStr">
        <is>
          <t>Có</t>
        </is>
      </c>
      <c r="L113" s="48" t="inlineStr">
        <is>
          <t>Có</t>
        </is>
      </c>
      <c r="M113" s="48" t="n"/>
      <c r="N113" s="48" t="n"/>
    </row>
    <row r="114">
      <c r="A114" s="48" t="inlineStr">
        <is>
          <t>NH-0113</t>
        </is>
      </c>
      <c r="B114" s="48" t="n"/>
      <c r="C114" s="48" t="inlineStr">
        <is>
          <t>Long</t>
        </is>
      </c>
      <c r="D114" s="48" t="n"/>
      <c r="E114" s="48" t="n"/>
      <c r="F114" s="48" t="n"/>
      <c r="G114" s="48" t="n"/>
      <c r="H114" s="48" t="n"/>
      <c r="I114" s="53" t="n"/>
      <c r="J114" s="53">
        <f>IF(OR(G114="",I114=""),"",G114*I114)</f>
        <v/>
      </c>
      <c r="K114" s="48" t="inlineStr">
        <is>
          <t>Có</t>
        </is>
      </c>
      <c r="L114" s="48" t="inlineStr">
        <is>
          <t>Có</t>
        </is>
      </c>
      <c r="M114" s="48" t="n"/>
      <c r="N114" s="48" t="n"/>
    </row>
    <row r="115">
      <c r="A115" s="48" t="inlineStr">
        <is>
          <t>NH-0114</t>
        </is>
      </c>
      <c r="B115" s="48" t="n"/>
      <c r="C115" s="48" t="inlineStr">
        <is>
          <t>Long</t>
        </is>
      </c>
      <c r="D115" s="48" t="n"/>
      <c r="E115" s="48" t="n"/>
      <c r="F115" s="48" t="n"/>
      <c r="G115" s="48" t="n"/>
      <c r="H115" s="48" t="n"/>
      <c r="I115" s="53" t="n"/>
      <c r="J115" s="53">
        <f>IF(OR(G115="",I115=""),"",G115*I115)</f>
        <v/>
      </c>
      <c r="K115" s="48" t="inlineStr">
        <is>
          <t>Có</t>
        </is>
      </c>
      <c r="L115" s="48" t="inlineStr">
        <is>
          <t>Có</t>
        </is>
      </c>
      <c r="M115" s="48" t="n"/>
      <c r="N115" s="48" t="n"/>
    </row>
    <row r="116">
      <c r="A116" s="48" t="inlineStr">
        <is>
          <t>NH-0115</t>
        </is>
      </c>
      <c r="B116" s="48" t="n"/>
      <c r="C116" s="48" t="inlineStr">
        <is>
          <t>Long</t>
        </is>
      </c>
      <c r="D116" s="48" t="n"/>
      <c r="E116" s="48" t="n"/>
      <c r="F116" s="48" t="n"/>
      <c r="G116" s="48" t="n"/>
      <c r="H116" s="48" t="n"/>
      <c r="I116" s="53" t="n"/>
      <c r="J116" s="53">
        <f>IF(OR(G116="",I116=""),"",G116*I116)</f>
        <v/>
      </c>
      <c r="K116" s="48" t="inlineStr">
        <is>
          <t>Có</t>
        </is>
      </c>
      <c r="L116" s="48" t="inlineStr">
        <is>
          <t>Có</t>
        </is>
      </c>
      <c r="M116" s="48" t="n"/>
      <c r="N116" s="48" t="n"/>
    </row>
    <row r="117">
      <c r="A117" s="48" t="inlineStr">
        <is>
          <t>NH-0116</t>
        </is>
      </c>
      <c r="B117" s="48" t="n"/>
      <c r="C117" s="48" t="inlineStr">
        <is>
          <t>Long</t>
        </is>
      </c>
      <c r="D117" s="48" t="n"/>
      <c r="E117" s="48" t="n"/>
      <c r="F117" s="48" t="n"/>
      <c r="G117" s="48" t="n"/>
      <c r="H117" s="48" t="n"/>
      <c r="I117" s="53" t="n"/>
      <c r="J117" s="53">
        <f>IF(OR(G117="",I117=""),"",G117*I117)</f>
        <v/>
      </c>
      <c r="K117" s="48" t="inlineStr">
        <is>
          <t>Có</t>
        </is>
      </c>
      <c r="L117" s="48" t="inlineStr">
        <is>
          <t>Có</t>
        </is>
      </c>
      <c r="M117" s="48" t="n"/>
      <c r="N117" s="48" t="n"/>
    </row>
    <row r="118">
      <c r="A118" s="48" t="inlineStr">
        <is>
          <t>NH-0117</t>
        </is>
      </c>
      <c r="B118" s="48" t="n"/>
      <c r="C118" s="48" t="inlineStr">
        <is>
          <t>Long</t>
        </is>
      </c>
      <c r="D118" s="48" t="n"/>
      <c r="E118" s="48" t="n"/>
      <c r="F118" s="48" t="n"/>
      <c r="G118" s="48" t="n"/>
      <c r="H118" s="48" t="n"/>
      <c r="I118" s="53" t="n"/>
      <c r="J118" s="53">
        <f>IF(OR(G118="",I118=""),"",G118*I118)</f>
        <v/>
      </c>
      <c r="K118" s="48" t="inlineStr">
        <is>
          <t>Có</t>
        </is>
      </c>
      <c r="L118" s="48" t="inlineStr">
        <is>
          <t>Có</t>
        </is>
      </c>
      <c r="M118" s="48" t="n"/>
      <c r="N118" s="48" t="n"/>
    </row>
    <row r="119">
      <c r="A119" s="48" t="inlineStr">
        <is>
          <t>NH-0118</t>
        </is>
      </c>
      <c r="B119" s="48" t="n"/>
      <c r="C119" s="48" t="inlineStr">
        <is>
          <t>Long</t>
        </is>
      </c>
      <c r="D119" s="48" t="n"/>
      <c r="E119" s="48" t="n"/>
      <c r="F119" s="48" t="n"/>
      <c r="G119" s="48" t="n"/>
      <c r="H119" s="48" t="n"/>
      <c r="I119" s="53" t="n"/>
      <c r="J119" s="53">
        <f>IF(OR(G119="",I119=""),"",G119*I119)</f>
        <v/>
      </c>
      <c r="K119" s="48" t="inlineStr">
        <is>
          <t>Có</t>
        </is>
      </c>
      <c r="L119" s="48" t="inlineStr">
        <is>
          <t>Có</t>
        </is>
      </c>
      <c r="M119" s="48" t="n"/>
      <c r="N119" s="48" t="n"/>
    </row>
    <row r="120">
      <c r="A120" s="48" t="inlineStr">
        <is>
          <t>NH-0119</t>
        </is>
      </c>
      <c r="B120" s="48" t="n"/>
      <c r="C120" s="48" t="inlineStr">
        <is>
          <t>Long</t>
        </is>
      </c>
      <c r="D120" s="48" t="n"/>
      <c r="E120" s="48" t="n"/>
      <c r="F120" s="48" t="n"/>
      <c r="G120" s="48" t="n"/>
      <c r="H120" s="48" t="n"/>
      <c r="I120" s="53" t="n"/>
      <c r="J120" s="53">
        <f>IF(OR(G120="",I120=""),"",G120*I120)</f>
        <v/>
      </c>
      <c r="K120" s="48" t="inlineStr">
        <is>
          <t>Có</t>
        </is>
      </c>
      <c r="L120" s="48" t="inlineStr">
        <is>
          <t>Có</t>
        </is>
      </c>
      <c r="M120" s="48" t="n"/>
      <c r="N120" s="48" t="n"/>
    </row>
    <row r="121">
      <c r="A121" s="48" t="inlineStr">
        <is>
          <t>NH-0120</t>
        </is>
      </c>
      <c r="B121" s="48" t="n"/>
      <c r="C121" s="48" t="inlineStr">
        <is>
          <t>Long</t>
        </is>
      </c>
      <c r="D121" s="48" t="n"/>
      <c r="E121" s="48" t="n"/>
      <c r="F121" s="48" t="n"/>
      <c r="G121" s="48" t="n"/>
      <c r="H121" s="48" t="n"/>
      <c r="I121" s="53" t="n"/>
      <c r="J121" s="53">
        <f>IF(OR(G121="",I121=""),"",G121*I121)</f>
        <v/>
      </c>
      <c r="K121" s="48" t="inlineStr">
        <is>
          <t>Có</t>
        </is>
      </c>
      <c r="L121" s="48" t="inlineStr">
        <is>
          <t>Có</t>
        </is>
      </c>
      <c r="M121" s="48" t="n"/>
      <c r="N121" s="48" t="n"/>
    </row>
    <row r="122">
      <c r="A122" s="48" t="inlineStr">
        <is>
          <t>NH-0121</t>
        </is>
      </c>
      <c r="B122" s="48" t="n"/>
      <c r="C122" s="48" t="inlineStr">
        <is>
          <t>Long</t>
        </is>
      </c>
      <c r="D122" s="48" t="n"/>
      <c r="E122" s="48" t="n"/>
      <c r="F122" s="48" t="n"/>
      <c r="G122" s="48" t="n"/>
      <c r="H122" s="48" t="n"/>
      <c r="I122" s="53" t="n"/>
      <c r="J122" s="53">
        <f>IF(OR(G122="",I122=""),"",G122*I122)</f>
        <v/>
      </c>
      <c r="K122" s="48" t="inlineStr">
        <is>
          <t>Có</t>
        </is>
      </c>
      <c r="L122" s="48" t="inlineStr">
        <is>
          <t>Có</t>
        </is>
      </c>
      <c r="M122" s="48" t="n"/>
      <c r="N122" s="48" t="n"/>
    </row>
    <row r="123">
      <c r="A123" s="48" t="inlineStr">
        <is>
          <t>NH-0122</t>
        </is>
      </c>
      <c r="B123" s="48" t="n"/>
      <c r="C123" s="48" t="inlineStr">
        <is>
          <t>Long</t>
        </is>
      </c>
      <c r="D123" s="48" t="n"/>
      <c r="E123" s="48" t="n"/>
      <c r="F123" s="48" t="n"/>
      <c r="G123" s="48" t="n"/>
      <c r="H123" s="48" t="n"/>
      <c r="I123" s="53" t="n"/>
      <c r="J123" s="53">
        <f>IF(OR(G123="",I123=""),"",G123*I123)</f>
        <v/>
      </c>
      <c r="K123" s="48" t="inlineStr">
        <is>
          <t>Có</t>
        </is>
      </c>
      <c r="L123" s="48" t="inlineStr">
        <is>
          <t>Có</t>
        </is>
      </c>
      <c r="M123" s="48" t="n"/>
      <c r="N123" s="48" t="n"/>
    </row>
    <row r="124">
      <c r="A124" s="48" t="inlineStr">
        <is>
          <t>NH-0123</t>
        </is>
      </c>
      <c r="B124" s="48" t="n"/>
      <c r="C124" s="48" t="inlineStr">
        <is>
          <t>Long</t>
        </is>
      </c>
      <c r="D124" s="48" t="n"/>
      <c r="E124" s="48" t="n"/>
      <c r="F124" s="48" t="n"/>
      <c r="G124" s="48" t="n"/>
      <c r="H124" s="48" t="n"/>
      <c r="I124" s="53" t="n"/>
      <c r="J124" s="53">
        <f>IF(OR(G124="",I124=""),"",G124*I124)</f>
        <v/>
      </c>
      <c r="K124" s="48" t="inlineStr">
        <is>
          <t>Có</t>
        </is>
      </c>
      <c r="L124" s="48" t="inlineStr">
        <is>
          <t>Có</t>
        </is>
      </c>
      <c r="M124" s="48" t="n"/>
      <c r="N124" s="48" t="n"/>
    </row>
    <row r="125">
      <c r="A125" s="48" t="inlineStr">
        <is>
          <t>NH-0124</t>
        </is>
      </c>
      <c r="B125" s="48" t="n"/>
      <c r="C125" s="48" t="inlineStr">
        <is>
          <t>Long</t>
        </is>
      </c>
      <c r="D125" s="48" t="n"/>
      <c r="E125" s="48" t="n"/>
      <c r="F125" s="48" t="n"/>
      <c r="G125" s="48" t="n"/>
      <c r="H125" s="48" t="n"/>
      <c r="I125" s="53" t="n"/>
      <c r="J125" s="53">
        <f>IF(OR(G125="",I125=""),"",G125*I125)</f>
        <v/>
      </c>
      <c r="K125" s="48" t="inlineStr">
        <is>
          <t>Có</t>
        </is>
      </c>
      <c r="L125" s="48" t="inlineStr">
        <is>
          <t>Có</t>
        </is>
      </c>
      <c r="M125" s="48" t="n"/>
      <c r="N125" s="48" t="n"/>
    </row>
    <row r="126">
      <c r="A126" s="48" t="inlineStr">
        <is>
          <t>NH-0125</t>
        </is>
      </c>
      <c r="B126" s="48" t="n"/>
      <c r="C126" s="48" t="inlineStr">
        <is>
          <t>Long</t>
        </is>
      </c>
      <c r="D126" s="48" t="n"/>
      <c r="E126" s="48" t="n"/>
      <c r="F126" s="48" t="n"/>
      <c r="G126" s="48" t="n"/>
      <c r="H126" s="48" t="n"/>
      <c r="I126" s="53" t="n"/>
      <c r="J126" s="53">
        <f>IF(OR(G126="",I126=""),"",G126*I126)</f>
        <v/>
      </c>
      <c r="K126" s="48" t="inlineStr">
        <is>
          <t>Có</t>
        </is>
      </c>
      <c r="L126" s="48" t="inlineStr">
        <is>
          <t>Có</t>
        </is>
      </c>
      <c r="M126" s="48" t="n"/>
      <c r="N126" s="48" t="n"/>
    </row>
    <row r="127">
      <c r="A127" s="48" t="inlineStr">
        <is>
          <t>NH-0126</t>
        </is>
      </c>
      <c r="B127" s="48" t="n"/>
      <c r="C127" s="48" t="inlineStr">
        <is>
          <t>Long</t>
        </is>
      </c>
      <c r="D127" s="48" t="n"/>
      <c r="E127" s="48" t="n"/>
      <c r="F127" s="48" t="n"/>
      <c r="G127" s="48" t="n"/>
      <c r="H127" s="48" t="n"/>
      <c r="I127" s="53" t="n"/>
      <c r="J127" s="53">
        <f>IF(OR(G127="",I127=""),"",G127*I127)</f>
        <v/>
      </c>
      <c r="K127" s="48" t="inlineStr">
        <is>
          <t>Có</t>
        </is>
      </c>
      <c r="L127" s="48" t="inlineStr">
        <is>
          <t>Có</t>
        </is>
      </c>
      <c r="M127" s="48" t="n"/>
      <c r="N127" s="48" t="n"/>
    </row>
    <row r="128">
      <c r="A128" s="48" t="inlineStr">
        <is>
          <t>NH-0127</t>
        </is>
      </c>
      <c r="B128" s="48" t="n"/>
      <c r="C128" s="48" t="inlineStr">
        <is>
          <t>Long</t>
        </is>
      </c>
      <c r="D128" s="48" t="n"/>
      <c r="E128" s="48" t="n"/>
      <c r="F128" s="48" t="n"/>
      <c r="G128" s="48" t="n"/>
      <c r="H128" s="48" t="n"/>
      <c r="I128" s="53" t="n"/>
      <c r="J128" s="53">
        <f>IF(OR(G128="",I128=""),"",G128*I128)</f>
        <v/>
      </c>
      <c r="K128" s="48" t="inlineStr">
        <is>
          <t>Có</t>
        </is>
      </c>
      <c r="L128" s="48" t="inlineStr">
        <is>
          <t>Có</t>
        </is>
      </c>
      <c r="M128" s="48" t="n"/>
      <c r="N128" s="48" t="n"/>
    </row>
    <row r="129">
      <c r="A129" s="48" t="inlineStr">
        <is>
          <t>NH-0128</t>
        </is>
      </c>
      <c r="B129" s="48" t="n"/>
      <c r="C129" s="48" t="inlineStr">
        <is>
          <t>Long</t>
        </is>
      </c>
      <c r="D129" s="48" t="n"/>
      <c r="E129" s="48" t="n"/>
      <c r="F129" s="48" t="n"/>
      <c r="G129" s="48" t="n"/>
      <c r="H129" s="48" t="n"/>
      <c r="I129" s="53" t="n"/>
      <c r="J129" s="53">
        <f>IF(OR(G129="",I129=""),"",G129*I129)</f>
        <v/>
      </c>
      <c r="K129" s="48" t="inlineStr">
        <is>
          <t>Có</t>
        </is>
      </c>
      <c r="L129" s="48" t="inlineStr">
        <is>
          <t>Có</t>
        </is>
      </c>
      <c r="M129" s="48" t="n"/>
      <c r="N129" s="48" t="n"/>
    </row>
    <row r="130">
      <c r="A130" s="48" t="inlineStr">
        <is>
          <t>NH-0129</t>
        </is>
      </c>
      <c r="B130" s="48" t="n"/>
      <c r="C130" s="48" t="inlineStr">
        <is>
          <t>Long</t>
        </is>
      </c>
      <c r="D130" s="48" t="n"/>
      <c r="E130" s="48" t="n"/>
      <c r="F130" s="48" t="n"/>
      <c r="G130" s="48" t="n"/>
      <c r="H130" s="48" t="n"/>
      <c r="I130" s="53" t="n"/>
      <c r="J130" s="53">
        <f>IF(OR(G130="",I130=""),"",G130*I130)</f>
        <v/>
      </c>
      <c r="K130" s="48" t="inlineStr">
        <is>
          <t>Có</t>
        </is>
      </c>
      <c r="L130" s="48" t="inlineStr">
        <is>
          <t>Có</t>
        </is>
      </c>
      <c r="M130" s="48" t="n"/>
      <c r="N130" s="48" t="n"/>
    </row>
    <row r="131">
      <c r="A131" s="48" t="inlineStr">
        <is>
          <t>NH-0130</t>
        </is>
      </c>
      <c r="B131" s="48" t="n"/>
      <c r="C131" s="48" t="inlineStr">
        <is>
          <t>Long</t>
        </is>
      </c>
      <c r="D131" s="48" t="n"/>
      <c r="E131" s="48" t="n"/>
      <c r="F131" s="48" t="n"/>
      <c r="G131" s="48" t="n"/>
      <c r="H131" s="48" t="n"/>
      <c r="I131" s="53" t="n"/>
      <c r="J131" s="53">
        <f>IF(OR(G131="",I131=""),"",G131*I131)</f>
        <v/>
      </c>
      <c r="K131" s="48" t="inlineStr">
        <is>
          <t>Có</t>
        </is>
      </c>
      <c r="L131" s="48" t="inlineStr">
        <is>
          <t>Có</t>
        </is>
      </c>
      <c r="M131" s="48" t="n"/>
      <c r="N131" s="48" t="n"/>
    </row>
    <row r="132">
      <c r="A132" s="48" t="inlineStr">
        <is>
          <t>NH-0131</t>
        </is>
      </c>
      <c r="B132" s="48" t="n"/>
      <c r="C132" s="48" t="inlineStr">
        <is>
          <t>Long</t>
        </is>
      </c>
      <c r="D132" s="48" t="n"/>
      <c r="E132" s="48" t="n"/>
      <c r="F132" s="48" t="n"/>
      <c r="G132" s="48" t="n"/>
      <c r="H132" s="48" t="n"/>
      <c r="I132" s="53" t="n"/>
      <c r="J132" s="53">
        <f>IF(OR(G132="",I132=""),"",G132*I132)</f>
        <v/>
      </c>
      <c r="K132" s="48" t="inlineStr">
        <is>
          <t>Có</t>
        </is>
      </c>
      <c r="L132" s="48" t="inlineStr">
        <is>
          <t>Có</t>
        </is>
      </c>
      <c r="M132" s="48" t="n"/>
      <c r="N132" s="48" t="n"/>
    </row>
    <row r="133">
      <c r="A133" s="48" t="inlineStr">
        <is>
          <t>NH-0132</t>
        </is>
      </c>
      <c r="B133" s="48" t="n"/>
      <c r="C133" s="48" t="inlineStr">
        <is>
          <t>Long</t>
        </is>
      </c>
      <c r="D133" s="48" t="n"/>
      <c r="E133" s="48" t="n"/>
      <c r="F133" s="48" t="n"/>
      <c r="G133" s="48" t="n"/>
      <c r="H133" s="48" t="n"/>
      <c r="I133" s="53" t="n"/>
      <c r="J133" s="53">
        <f>IF(OR(G133="",I133=""),"",G133*I133)</f>
        <v/>
      </c>
      <c r="K133" s="48" t="inlineStr">
        <is>
          <t>Có</t>
        </is>
      </c>
      <c r="L133" s="48" t="inlineStr">
        <is>
          <t>Có</t>
        </is>
      </c>
      <c r="M133" s="48" t="n"/>
      <c r="N133" s="48" t="n"/>
    </row>
    <row r="134">
      <c r="A134" s="48" t="inlineStr">
        <is>
          <t>NH-0133</t>
        </is>
      </c>
      <c r="B134" s="48" t="n"/>
      <c r="C134" s="48" t="inlineStr">
        <is>
          <t>Long</t>
        </is>
      </c>
      <c r="D134" s="48" t="n"/>
      <c r="E134" s="48" t="n"/>
      <c r="F134" s="48" t="n"/>
      <c r="G134" s="48" t="n"/>
      <c r="H134" s="48" t="n"/>
      <c r="I134" s="53" t="n"/>
      <c r="J134" s="53">
        <f>IF(OR(G134="",I134=""),"",G134*I134)</f>
        <v/>
      </c>
      <c r="K134" s="48" t="inlineStr">
        <is>
          <t>Có</t>
        </is>
      </c>
      <c r="L134" s="48" t="inlineStr">
        <is>
          <t>Có</t>
        </is>
      </c>
      <c r="M134" s="48" t="n"/>
      <c r="N134" s="48" t="n"/>
    </row>
    <row r="135">
      <c r="A135" s="48" t="inlineStr">
        <is>
          <t>NH-0134</t>
        </is>
      </c>
      <c r="B135" s="48" t="n"/>
      <c r="C135" s="48" t="inlineStr">
        <is>
          <t>Long</t>
        </is>
      </c>
      <c r="D135" s="48" t="n"/>
      <c r="E135" s="48" t="n"/>
      <c r="F135" s="48" t="n"/>
      <c r="G135" s="48" t="n"/>
      <c r="H135" s="48" t="n"/>
      <c r="I135" s="53" t="n"/>
      <c r="J135" s="53">
        <f>IF(OR(G135="",I135=""),"",G135*I135)</f>
        <v/>
      </c>
      <c r="K135" s="48" t="inlineStr">
        <is>
          <t>Có</t>
        </is>
      </c>
      <c r="L135" s="48" t="inlineStr">
        <is>
          <t>Có</t>
        </is>
      </c>
      <c r="M135" s="48" t="n"/>
      <c r="N135" s="48" t="n"/>
    </row>
    <row r="136">
      <c r="A136" s="48" t="inlineStr">
        <is>
          <t>NH-0135</t>
        </is>
      </c>
      <c r="B136" s="48" t="n"/>
      <c r="C136" s="48" t="inlineStr">
        <is>
          <t>Long</t>
        </is>
      </c>
      <c r="D136" s="48" t="n"/>
      <c r="E136" s="48" t="n"/>
      <c r="F136" s="48" t="n"/>
      <c r="G136" s="48" t="n"/>
      <c r="H136" s="48" t="n"/>
      <c r="I136" s="53" t="n"/>
      <c r="J136" s="53">
        <f>IF(OR(G136="",I136=""),"",G136*I136)</f>
        <v/>
      </c>
      <c r="K136" s="48" t="inlineStr">
        <is>
          <t>Có</t>
        </is>
      </c>
      <c r="L136" s="48" t="inlineStr">
        <is>
          <t>Có</t>
        </is>
      </c>
      <c r="M136" s="48" t="n"/>
      <c r="N136" s="48" t="n"/>
    </row>
    <row r="137">
      <c r="A137" s="48" t="inlineStr">
        <is>
          <t>NH-0136</t>
        </is>
      </c>
      <c r="B137" s="48" t="n"/>
      <c r="C137" s="48" t="inlineStr">
        <is>
          <t>Long</t>
        </is>
      </c>
      <c r="D137" s="48" t="n"/>
      <c r="E137" s="48" t="n"/>
      <c r="F137" s="48" t="n"/>
      <c r="G137" s="48" t="n"/>
      <c r="H137" s="48" t="n"/>
      <c r="I137" s="53" t="n"/>
      <c r="J137" s="53">
        <f>IF(OR(G137="",I137=""),"",G137*I137)</f>
        <v/>
      </c>
      <c r="K137" s="48" t="inlineStr">
        <is>
          <t>Có</t>
        </is>
      </c>
      <c r="L137" s="48" t="inlineStr">
        <is>
          <t>Có</t>
        </is>
      </c>
      <c r="M137" s="48" t="n"/>
      <c r="N137" s="48" t="n"/>
    </row>
    <row r="138">
      <c r="A138" s="48" t="inlineStr">
        <is>
          <t>NH-0137</t>
        </is>
      </c>
      <c r="B138" s="48" t="n"/>
      <c r="C138" s="48" t="inlineStr">
        <is>
          <t>Long</t>
        </is>
      </c>
      <c r="D138" s="48" t="n"/>
      <c r="E138" s="48" t="n"/>
      <c r="F138" s="48" t="n"/>
      <c r="G138" s="48" t="n"/>
      <c r="H138" s="48" t="n"/>
      <c r="I138" s="53" t="n"/>
      <c r="J138" s="53">
        <f>IF(OR(G138="",I138=""),"",G138*I138)</f>
        <v/>
      </c>
      <c r="K138" s="48" t="inlineStr">
        <is>
          <t>Có</t>
        </is>
      </c>
      <c r="L138" s="48" t="inlineStr">
        <is>
          <t>Có</t>
        </is>
      </c>
      <c r="M138" s="48" t="n"/>
      <c r="N138" s="48" t="n"/>
    </row>
    <row r="139">
      <c r="A139" s="48" t="inlineStr">
        <is>
          <t>NH-0138</t>
        </is>
      </c>
      <c r="B139" s="48" t="n"/>
      <c r="C139" s="48" t="inlineStr">
        <is>
          <t>Long</t>
        </is>
      </c>
      <c r="D139" s="48" t="n"/>
      <c r="E139" s="48" t="n"/>
      <c r="F139" s="48" t="n"/>
      <c r="G139" s="48" t="n"/>
      <c r="H139" s="48" t="n"/>
      <c r="I139" s="53" t="n"/>
      <c r="J139" s="53">
        <f>IF(OR(G139="",I139=""),"",G139*I139)</f>
        <v/>
      </c>
      <c r="K139" s="48" t="inlineStr">
        <is>
          <t>Có</t>
        </is>
      </c>
      <c r="L139" s="48" t="inlineStr">
        <is>
          <t>Có</t>
        </is>
      </c>
      <c r="M139" s="48" t="n"/>
      <c r="N139" s="48" t="n"/>
    </row>
    <row r="140">
      <c r="A140" s="48" t="inlineStr">
        <is>
          <t>NH-0139</t>
        </is>
      </c>
      <c r="B140" s="48" t="n"/>
      <c r="C140" s="48" t="inlineStr">
        <is>
          <t>Long</t>
        </is>
      </c>
      <c r="D140" s="48" t="n"/>
      <c r="E140" s="48" t="n"/>
      <c r="F140" s="48" t="n"/>
      <c r="G140" s="48" t="n"/>
      <c r="H140" s="48" t="n"/>
      <c r="I140" s="53" t="n"/>
      <c r="J140" s="53">
        <f>IF(OR(G140="",I140=""),"",G140*I140)</f>
        <v/>
      </c>
      <c r="K140" s="48" t="inlineStr">
        <is>
          <t>Có</t>
        </is>
      </c>
      <c r="L140" s="48" t="inlineStr">
        <is>
          <t>Có</t>
        </is>
      </c>
      <c r="M140" s="48" t="n"/>
      <c r="N140" s="48" t="n"/>
    </row>
  </sheetData>
  <autoFilter ref="A1:N1"/>
  <dataValidations count="3">
    <dataValidation sqref="C2:C500" showDropDown="0" showInputMessage="0" showErrorMessage="0" allowBlank="0" type="list">
      <formula1>'Đối tác'!$A$2:$A$200</formula1>
    </dataValidation>
    <dataValidation sqref="K2:K500" showDropDown="0" showInputMessage="0" showErrorMessage="0" allowBlank="1" type="list">
      <formula1>"Có,Chưa"</formula1>
    </dataValidation>
    <dataValidation sqref="L2:L500" showDropDown="0" showInputMessage="0" showErrorMessage="0" allowBlank="0" type="list">
      <formula1>"Có,Không"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9"/>
  <sheetViews>
    <sheetView showGridLines="0" workbookViewId="0">
      <pane ySplit="1" topLeftCell="A2" activePane="bottomLeft" state="frozen"/>
      <selection pane="bottomLeft" activeCell="A1" sqref="A1"/>
    </sheetView>
  </sheetViews>
  <sheetFormatPr baseColWidth="8" defaultRowHeight="15"/>
  <cols>
    <col width="16" customWidth="1" style="46" min="1" max="1"/>
    <col width="16" customWidth="1" style="46" min="2" max="2"/>
    <col width="16" customWidth="1" style="46" min="3" max="3"/>
    <col width="16" customWidth="1" style="46" min="4" max="4"/>
    <col width="16" customWidth="1" style="46" min="5" max="5"/>
    <col width="78" customWidth="1" style="46" min="6" max="6"/>
    <col width="16" customWidth="1" style="46" min="7" max="7"/>
  </cols>
  <sheetData>
    <row r="1" ht="28" customHeight="1" s="46">
      <c r="A1" s="54" t="inlineStr">
        <is>
          <t>Mã thanh toán</t>
        </is>
      </c>
      <c r="B1" s="54" t="inlineStr">
        <is>
          <t>Ngày</t>
        </is>
      </c>
      <c r="C1" s="54" t="inlineStr">
        <is>
          <t>Đối tác</t>
        </is>
      </c>
      <c r="D1" s="54" t="inlineStr">
        <is>
          <t>Số tiền</t>
        </is>
      </c>
      <c r="E1" s="54" t="inlineStr">
        <is>
          <t>Phương thức</t>
        </is>
      </c>
      <c r="F1" s="54" t="inlineStr">
        <is>
          <t>Ghi chú</t>
        </is>
      </c>
      <c r="G1" s="54" t="inlineStr">
        <is>
          <t>Tính công nợ</t>
        </is>
      </c>
    </row>
    <row r="2">
      <c r="A2" s="48" t="inlineStr">
        <is>
          <t>TT-0001</t>
        </is>
      </c>
      <c r="B2" s="48" t="inlineStr">
        <is>
          <t>2/3/2026</t>
        </is>
      </c>
      <c r="C2" s="48" t="inlineStr">
        <is>
          <t>Long</t>
        </is>
      </c>
      <c r="D2" s="53" t="n">
        <v>45000000</v>
      </c>
      <c r="E2" s="48" t="inlineStr">
        <is>
          <t>Chuyển khoản</t>
        </is>
      </c>
      <c r="F2" s="48" t="inlineStr">
        <is>
          <t>Từ đầu đến ngày 2/3/2026 tc ck cho long là | Đã xác nhận số đúng là 45.000.000; đã gộp trong số dư chốt 07/05/2026</t>
        </is>
      </c>
      <c r="G2" s="48" t="inlineStr">
        <is>
          <t>Không</t>
        </is>
      </c>
    </row>
    <row r="3">
      <c r="A3" s="48" t="inlineStr">
        <is>
          <t>TT-0002</t>
        </is>
      </c>
      <c r="B3" s="58" t="n">
        <v>46150</v>
      </c>
      <c r="C3" s="48" t="inlineStr">
        <is>
          <t>Long</t>
        </is>
      </c>
      <c r="D3" s="53" t="n">
        <v>15000000</v>
      </c>
      <c r="E3" s="48" t="inlineStr">
        <is>
          <t>Trả trước</t>
        </is>
      </c>
      <c r="F3" s="48" t="inlineStr">
        <is>
          <t>Khoản trả trước theo sheet mới sau khi chốt nợ 07/05/2026.</t>
        </is>
      </c>
      <c r="G3" s="48" t="inlineStr">
        <is>
          <t>Có</t>
        </is>
      </c>
    </row>
    <row r="4">
      <c r="A4" s="48" t="inlineStr">
        <is>
          <t>TT-0003</t>
        </is>
      </c>
      <c r="B4" s="48" t="n"/>
      <c r="C4" s="48" t="inlineStr">
        <is>
          <t>Long</t>
        </is>
      </c>
      <c r="D4" s="53" t="n"/>
      <c r="E4" s="48" t="n"/>
      <c r="F4" s="48" t="n"/>
      <c r="G4" s="48" t="inlineStr">
        <is>
          <t>Có</t>
        </is>
      </c>
    </row>
    <row r="5">
      <c r="A5" s="48" t="inlineStr">
        <is>
          <t>TT-0004</t>
        </is>
      </c>
      <c r="B5" s="48" t="n"/>
      <c r="C5" s="48" t="inlineStr">
        <is>
          <t>Long</t>
        </is>
      </c>
      <c r="D5" s="53" t="n"/>
      <c r="E5" s="48" t="n"/>
      <c r="F5" s="48" t="n"/>
      <c r="G5" s="48" t="inlineStr">
        <is>
          <t>Có</t>
        </is>
      </c>
    </row>
    <row r="6">
      <c r="A6" s="48" t="inlineStr">
        <is>
          <t>TT-0005</t>
        </is>
      </c>
      <c r="B6" s="48" t="n"/>
      <c r="C6" s="48" t="inlineStr">
        <is>
          <t>Long</t>
        </is>
      </c>
      <c r="D6" s="53" t="n"/>
      <c r="E6" s="48" t="n"/>
      <c r="F6" s="48" t="n"/>
      <c r="G6" s="48" t="inlineStr">
        <is>
          <t>Có</t>
        </is>
      </c>
    </row>
    <row r="7">
      <c r="A7" s="48" t="inlineStr">
        <is>
          <t>TT-0006</t>
        </is>
      </c>
      <c r="B7" s="48" t="n"/>
      <c r="C7" s="48" t="inlineStr">
        <is>
          <t>Long</t>
        </is>
      </c>
      <c r="D7" s="53" t="n"/>
      <c r="E7" s="48" t="n"/>
      <c r="F7" s="48" t="n"/>
      <c r="G7" s="48" t="inlineStr">
        <is>
          <t>Có</t>
        </is>
      </c>
    </row>
    <row r="8">
      <c r="A8" s="48" t="inlineStr">
        <is>
          <t>TT-0007</t>
        </is>
      </c>
      <c r="B8" s="48" t="n"/>
      <c r="C8" s="48" t="inlineStr">
        <is>
          <t>Long</t>
        </is>
      </c>
      <c r="D8" s="53" t="n"/>
      <c r="E8" s="48" t="n"/>
      <c r="F8" s="48" t="n"/>
      <c r="G8" s="48" t="inlineStr">
        <is>
          <t>Có</t>
        </is>
      </c>
    </row>
    <row r="9">
      <c r="A9" s="48" t="inlineStr">
        <is>
          <t>TT-0008</t>
        </is>
      </c>
      <c r="B9" s="48" t="n"/>
      <c r="C9" s="48" t="inlineStr">
        <is>
          <t>Long</t>
        </is>
      </c>
      <c r="D9" s="53" t="n"/>
      <c r="E9" s="48" t="n"/>
      <c r="F9" s="48" t="n"/>
      <c r="G9" s="48" t="inlineStr">
        <is>
          <t>Có</t>
        </is>
      </c>
    </row>
    <row r="10">
      <c r="A10" s="48" t="inlineStr">
        <is>
          <t>TT-0009</t>
        </is>
      </c>
      <c r="B10" s="48" t="n"/>
      <c r="C10" s="48" t="inlineStr">
        <is>
          <t>Long</t>
        </is>
      </c>
      <c r="D10" s="53" t="n"/>
      <c r="E10" s="48" t="n"/>
      <c r="F10" s="48" t="n"/>
      <c r="G10" s="48" t="inlineStr">
        <is>
          <t>Có</t>
        </is>
      </c>
    </row>
    <row r="11">
      <c r="A11" s="48" t="inlineStr">
        <is>
          <t>TT-0010</t>
        </is>
      </c>
      <c r="B11" s="48" t="n"/>
      <c r="C11" s="48" t="inlineStr">
        <is>
          <t>Long</t>
        </is>
      </c>
      <c r="D11" s="53" t="n"/>
      <c r="E11" s="48" t="n"/>
      <c r="F11" s="48" t="n"/>
      <c r="G11" s="48" t="inlineStr">
        <is>
          <t>Có</t>
        </is>
      </c>
    </row>
    <row r="12">
      <c r="A12" s="48" t="inlineStr">
        <is>
          <t>TT-0011</t>
        </is>
      </c>
      <c r="B12" s="48" t="n"/>
      <c r="C12" s="48" t="inlineStr">
        <is>
          <t>Long</t>
        </is>
      </c>
      <c r="D12" s="53" t="n"/>
      <c r="E12" s="48" t="n"/>
      <c r="F12" s="48" t="n"/>
      <c r="G12" s="48" t="inlineStr">
        <is>
          <t>Có</t>
        </is>
      </c>
    </row>
    <row r="13">
      <c r="A13" s="48" t="inlineStr">
        <is>
          <t>TT-0012</t>
        </is>
      </c>
      <c r="B13" s="48" t="n"/>
      <c r="C13" s="48" t="inlineStr">
        <is>
          <t>Long</t>
        </is>
      </c>
      <c r="D13" s="53" t="n"/>
      <c r="E13" s="48" t="n"/>
      <c r="F13" s="48" t="n"/>
      <c r="G13" s="48" t="inlineStr">
        <is>
          <t>Có</t>
        </is>
      </c>
    </row>
    <row r="14">
      <c r="A14" s="48" t="inlineStr">
        <is>
          <t>TT-0013</t>
        </is>
      </c>
      <c r="B14" s="48" t="n"/>
      <c r="C14" s="48" t="inlineStr">
        <is>
          <t>Long</t>
        </is>
      </c>
      <c r="D14" s="53" t="n"/>
      <c r="E14" s="48" t="n"/>
      <c r="F14" s="48" t="n"/>
      <c r="G14" s="48" t="inlineStr">
        <is>
          <t>Có</t>
        </is>
      </c>
    </row>
    <row r="15">
      <c r="A15" s="48" t="inlineStr">
        <is>
          <t>TT-0014</t>
        </is>
      </c>
      <c r="B15" s="48" t="n"/>
      <c r="C15" s="48" t="inlineStr">
        <is>
          <t>Long</t>
        </is>
      </c>
      <c r="D15" s="53" t="n"/>
      <c r="E15" s="48" t="n"/>
      <c r="F15" s="48" t="n"/>
      <c r="G15" s="48" t="inlineStr">
        <is>
          <t>Có</t>
        </is>
      </c>
    </row>
    <row r="16">
      <c r="A16" s="48" t="inlineStr">
        <is>
          <t>TT-0015</t>
        </is>
      </c>
      <c r="B16" s="48" t="n"/>
      <c r="C16" s="48" t="inlineStr">
        <is>
          <t>Long</t>
        </is>
      </c>
      <c r="D16" s="53" t="n"/>
      <c r="E16" s="48" t="n"/>
      <c r="F16" s="48" t="n"/>
      <c r="G16" s="48" t="inlineStr">
        <is>
          <t>Có</t>
        </is>
      </c>
    </row>
    <row r="17">
      <c r="A17" s="48" t="inlineStr">
        <is>
          <t>TT-0016</t>
        </is>
      </c>
      <c r="B17" s="48" t="n"/>
      <c r="C17" s="48" t="inlineStr">
        <is>
          <t>Long</t>
        </is>
      </c>
      <c r="D17" s="53" t="n"/>
      <c r="E17" s="48" t="n"/>
      <c r="F17" s="48" t="n"/>
      <c r="G17" s="48" t="inlineStr">
        <is>
          <t>Có</t>
        </is>
      </c>
    </row>
    <row r="18">
      <c r="A18" s="48" t="inlineStr">
        <is>
          <t>TT-0017</t>
        </is>
      </c>
      <c r="B18" s="48" t="n"/>
      <c r="C18" s="48" t="inlineStr">
        <is>
          <t>Long</t>
        </is>
      </c>
      <c r="D18" s="53" t="n"/>
      <c r="E18" s="48" t="n"/>
      <c r="F18" s="48" t="n"/>
      <c r="G18" s="48" t="inlineStr">
        <is>
          <t>Có</t>
        </is>
      </c>
    </row>
    <row r="19">
      <c r="A19" s="48" t="inlineStr">
        <is>
          <t>TT-0018</t>
        </is>
      </c>
      <c r="B19" s="48" t="n"/>
      <c r="C19" s="48" t="inlineStr">
        <is>
          <t>Long</t>
        </is>
      </c>
      <c r="D19" s="53" t="n"/>
      <c r="E19" s="48" t="n"/>
      <c r="F19" s="48" t="n"/>
      <c r="G19" s="48" t="inlineStr">
        <is>
          <t>Có</t>
        </is>
      </c>
    </row>
    <row r="20">
      <c r="A20" s="48" t="inlineStr">
        <is>
          <t>TT-0019</t>
        </is>
      </c>
      <c r="B20" s="48" t="n"/>
      <c r="C20" s="48" t="inlineStr">
        <is>
          <t>Long</t>
        </is>
      </c>
      <c r="D20" s="53" t="n"/>
      <c r="E20" s="48" t="n"/>
      <c r="F20" s="48" t="n"/>
      <c r="G20" s="48" t="inlineStr">
        <is>
          <t>Có</t>
        </is>
      </c>
    </row>
    <row r="21">
      <c r="A21" s="48" t="inlineStr">
        <is>
          <t>TT-0020</t>
        </is>
      </c>
      <c r="B21" s="48" t="n"/>
      <c r="C21" s="48" t="inlineStr">
        <is>
          <t>Long</t>
        </is>
      </c>
      <c r="D21" s="53" t="n"/>
      <c r="E21" s="48" t="n"/>
      <c r="F21" s="48" t="n"/>
      <c r="G21" s="48" t="inlineStr">
        <is>
          <t>Có</t>
        </is>
      </c>
    </row>
    <row r="22">
      <c r="A22" s="48" t="inlineStr">
        <is>
          <t>TT-0021</t>
        </is>
      </c>
      <c r="B22" s="48" t="n"/>
      <c r="C22" s="48" t="inlineStr">
        <is>
          <t>Long</t>
        </is>
      </c>
      <c r="D22" s="53" t="n"/>
      <c r="E22" s="48" t="n"/>
      <c r="F22" s="48" t="n"/>
      <c r="G22" s="48" t="inlineStr">
        <is>
          <t>Có</t>
        </is>
      </c>
    </row>
    <row r="23">
      <c r="A23" s="48" t="inlineStr">
        <is>
          <t>TT-0022</t>
        </is>
      </c>
      <c r="B23" s="48" t="n"/>
      <c r="C23" s="48" t="inlineStr">
        <is>
          <t>Long</t>
        </is>
      </c>
      <c r="D23" s="53" t="n"/>
      <c r="E23" s="48" t="n"/>
      <c r="F23" s="48" t="n"/>
      <c r="G23" s="48" t="inlineStr">
        <is>
          <t>Có</t>
        </is>
      </c>
    </row>
    <row r="24">
      <c r="A24" s="48" t="inlineStr">
        <is>
          <t>TT-0023</t>
        </is>
      </c>
      <c r="B24" s="48" t="n"/>
      <c r="C24" s="48" t="inlineStr">
        <is>
          <t>Long</t>
        </is>
      </c>
      <c r="D24" s="53" t="n"/>
      <c r="E24" s="48" t="n"/>
      <c r="F24" s="48" t="n"/>
      <c r="G24" s="48" t="inlineStr">
        <is>
          <t>Có</t>
        </is>
      </c>
    </row>
    <row r="25">
      <c r="A25" s="48" t="inlineStr">
        <is>
          <t>TT-0024</t>
        </is>
      </c>
      <c r="B25" s="48" t="n"/>
      <c r="C25" s="48" t="inlineStr">
        <is>
          <t>Long</t>
        </is>
      </c>
      <c r="D25" s="53" t="n"/>
      <c r="E25" s="48" t="n"/>
      <c r="F25" s="48" t="n"/>
      <c r="G25" s="48" t="inlineStr">
        <is>
          <t>Có</t>
        </is>
      </c>
    </row>
    <row r="26">
      <c r="A26" s="48" t="inlineStr">
        <is>
          <t>TT-0025</t>
        </is>
      </c>
      <c r="B26" s="48" t="n"/>
      <c r="C26" s="48" t="inlineStr">
        <is>
          <t>Long</t>
        </is>
      </c>
      <c r="D26" s="53" t="n"/>
      <c r="E26" s="48" t="n"/>
      <c r="F26" s="48" t="n"/>
      <c r="G26" s="48" t="inlineStr">
        <is>
          <t>Có</t>
        </is>
      </c>
    </row>
    <row r="27">
      <c r="A27" s="48" t="inlineStr">
        <is>
          <t>TT-0026</t>
        </is>
      </c>
      <c r="B27" s="48" t="n"/>
      <c r="C27" s="48" t="inlineStr">
        <is>
          <t>Long</t>
        </is>
      </c>
      <c r="D27" s="53" t="n"/>
      <c r="E27" s="48" t="n"/>
      <c r="F27" s="48" t="n"/>
      <c r="G27" s="48" t="inlineStr">
        <is>
          <t>Có</t>
        </is>
      </c>
    </row>
    <row r="28">
      <c r="A28" s="48" t="inlineStr">
        <is>
          <t>TT-0027</t>
        </is>
      </c>
      <c r="B28" s="48" t="n"/>
      <c r="C28" s="48" t="inlineStr">
        <is>
          <t>Long</t>
        </is>
      </c>
      <c r="D28" s="53" t="n"/>
      <c r="E28" s="48" t="n"/>
      <c r="F28" s="48" t="n"/>
      <c r="G28" s="48" t="inlineStr">
        <is>
          <t>Có</t>
        </is>
      </c>
    </row>
    <row r="29">
      <c r="A29" s="48" t="inlineStr">
        <is>
          <t>TT-0028</t>
        </is>
      </c>
      <c r="B29" s="48" t="n"/>
      <c r="C29" s="48" t="inlineStr">
        <is>
          <t>Long</t>
        </is>
      </c>
      <c r="D29" s="53" t="n"/>
      <c r="E29" s="48" t="n"/>
      <c r="F29" s="48" t="n"/>
      <c r="G29" s="48" t="inlineStr">
        <is>
          <t>Có</t>
        </is>
      </c>
    </row>
    <row r="30">
      <c r="A30" s="48" t="inlineStr">
        <is>
          <t>TT-0029</t>
        </is>
      </c>
      <c r="B30" s="48" t="n"/>
      <c r="C30" s="48" t="inlineStr">
        <is>
          <t>Long</t>
        </is>
      </c>
      <c r="D30" s="53" t="n"/>
      <c r="E30" s="48" t="n"/>
      <c r="F30" s="48" t="n"/>
      <c r="G30" s="48" t="inlineStr">
        <is>
          <t>Có</t>
        </is>
      </c>
    </row>
    <row r="31">
      <c r="A31" s="48" t="inlineStr">
        <is>
          <t>TT-0030</t>
        </is>
      </c>
      <c r="B31" s="48" t="n"/>
      <c r="C31" s="48" t="inlineStr">
        <is>
          <t>Long</t>
        </is>
      </c>
      <c r="D31" s="53" t="n"/>
      <c r="E31" s="48" t="n"/>
      <c r="F31" s="48" t="n"/>
      <c r="G31" s="48" t="inlineStr">
        <is>
          <t>Có</t>
        </is>
      </c>
    </row>
    <row r="32">
      <c r="A32" s="48" t="inlineStr">
        <is>
          <t>TT-0031</t>
        </is>
      </c>
      <c r="B32" s="48" t="n"/>
      <c r="C32" s="48" t="inlineStr">
        <is>
          <t>Long</t>
        </is>
      </c>
      <c r="D32" s="53" t="n"/>
      <c r="E32" s="48" t="n"/>
      <c r="F32" s="48" t="n"/>
      <c r="G32" s="48" t="inlineStr">
        <is>
          <t>Có</t>
        </is>
      </c>
    </row>
    <row r="33">
      <c r="A33" s="48" t="inlineStr">
        <is>
          <t>TT-0032</t>
        </is>
      </c>
      <c r="B33" s="48" t="n"/>
      <c r="C33" s="48" t="inlineStr">
        <is>
          <t>Long</t>
        </is>
      </c>
      <c r="D33" s="53" t="n"/>
      <c r="E33" s="48" t="n"/>
      <c r="F33" s="48" t="n"/>
      <c r="G33" s="48" t="inlineStr">
        <is>
          <t>Có</t>
        </is>
      </c>
    </row>
    <row r="34">
      <c r="A34" s="48" t="inlineStr">
        <is>
          <t>TT-0033</t>
        </is>
      </c>
      <c r="B34" s="48" t="n"/>
      <c r="C34" s="48" t="inlineStr">
        <is>
          <t>Long</t>
        </is>
      </c>
      <c r="D34" s="53" t="n"/>
      <c r="E34" s="48" t="n"/>
      <c r="F34" s="48" t="n"/>
      <c r="G34" s="48" t="inlineStr">
        <is>
          <t>Có</t>
        </is>
      </c>
    </row>
    <row r="35">
      <c r="A35" s="48" t="inlineStr">
        <is>
          <t>TT-0034</t>
        </is>
      </c>
      <c r="B35" s="48" t="n"/>
      <c r="C35" s="48" t="inlineStr">
        <is>
          <t>Long</t>
        </is>
      </c>
      <c r="D35" s="53" t="n"/>
      <c r="E35" s="48" t="n"/>
      <c r="F35" s="48" t="n"/>
      <c r="G35" s="48" t="inlineStr">
        <is>
          <t>Có</t>
        </is>
      </c>
    </row>
    <row r="36">
      <c r="A36" s="48" t="inlineStr">
        <is>
          <t>TT-0035</t>
        </is>
      </c>
      <c r="B36" s="48" t="n"/>
      <c r="C36" s="48" t="inlineStr">
        <is>
          <t>Long</t>
        </is>
      </c>
      <c r="D36" s="53" t="n"/>
      <c r="E36" s="48" t="n"/>
      <c r="F36" s="48" t="n"/>
      <c r="G36" s="48" t="inlineStr">
        <is>
          <t>Có</t>
        </is>
      </c>
    </row>
    <row r="37">
      <c r="A37" s="48" t="inlineStr">
        <is>
          <t>TT-0036</t>
        </is>
      </c>
      <c r="B37" s="48" t="n"/>
      <c r="C37" s="48" t="inlineStr">
        <is>
          <t>Long</t>
        </is>
      </c>
      <c r="D37" s="53" t="n"/>
      <c r="E37" s="48" t="n"/>
      <c r="F37" s="48" t="n"/>
      <c r="G37" s="48" t="inlineStr">
        <is>
          <t>Có</t>
        </is>
      </c>
    </row>
    <row r="38">
      <c r="A38" s="48" t="inlineStr">
        <is>
          <t>TT-0037</t>
        </is>
      </c>
      <c r="B38" s="48" t="n"/>
      <c r="C38" s="48" t="inlineStr">
        <is>
          <t>Long</t>
        </is>
      </c>
      <c r="D38" s="53" t="n"/>
      <c r="E38" s="48" t="n"/>
      <c r="F38" s="48" t="n"/>
      <c r="G38" s="48" t="inlineStr">
        <is>
          <t>Có</t>
        </is>
      </c>
    </row>
    <row r="39">
      <c r="A39" s="48" t="inlineStr">
        <is>
          <t>TT-0038</t>
        </is>
      </c>
      <c r="B39" s="48" t="n"/>
      <c r="C39" s="48" t="inlineStr">
        <is>
          <t>Long</t>
        </is>
      </c>
      <c r="D39" s="53" t="n"/>
      <c r="E39" s="48" t="n"/>
      <c r="F39" s="48" t="n"/>
      <c r="G39" s="48" t="inlineStr">
        <is>
          <t>Có</t>
        </is>
      </c>
    </row>
    <row r="40">
      <c r="A40" s="48" t="inlineStr">
        <is>
          <t>TT-0039</t>
        </is>
      </c>
      <c r="B40" s="48" t="n"/>
      <c r="C40" s="48" t="inlineStr">
        <is>
          <t>Long</t>
        </is>
      </c>
      <c r="D40" s="53" t="n"/>
      <c r="E40" s="48" t="n"/>
      <c r="F40" s="48" t="n"/>
      <c r="G40" s="48" t="inlineStr">
        <is>
          <t>Có</t>
        </is>
      </c>
    </row>
    <row r="41">
      <c r="A41" s="48" t="inlineStr">
        <is>
          <t>TT-0040</t>
        </is>
      </c>
      <c r="B41" s="48" t="n"/>
      <c r="C41" s="48" t="inlineStr">
        <is>
          <t>Long</t>
        </is>
      </c>
      <c r="D41" s="53" t="n"/>
      <c r="E41" s="48" t="n"/>
      <c r="F41" s="48" t="n"/>
      <c r="G41" s="48" t="inlineStr">
        <is>
          <t>Có</t>
        </is>
      </c>
    </row>
    <row r="42">
      <c r="A42" s="48" t="inlineStr">
        <is>
          <t>TT-0041</t>
        </is>
      </c>
      <c r="B42" s="48" t="n"/>
      <c r="C42" s="48" t="inlineStr">
        <is>
          <t>Long</t>
        </is>
      </c>
      <c r="D42" s="53" t="n"/>
      <c r="E42" s="48" t="n"/>
      <c r="F42" s="48" t="n"/>
      <c r="G42" s="48" t="inlineStr">
        <is>
          <t>Có</t>
        </is>
      </c>
    </row>
    <row r="43">
      <c r="A43" s="48" t="inlineStr">
        <is>
          <t>TT-0042</t>
        </is>
      </c>
      <c r="B43" s="48" t="n"/>
      <c r="C43" s="48" t="inlineStr">
        <is>
          <t>Long</t>
        </is>
      </c>
      <c r="D43" s="53" t="n"/>
      <c r="E43" s="48" t="n"/>
      <c r="F43" s="48" t="n"/>
      <c r="G43" s="48" t="inlineStr">
        <is>
          <t>Có</t>
        </is>
      </c>
    </row>
    <row r="44">
      <c r="A44" s="48" t="inlineStr">
        <is>
          <t>TT-0043</t>
        </is>
      </c>
      <c r="B44" s="48" t="n"/>
      <c r="C44" s="48" t="inlineStr">
        <is>
          <t>Long</t>
        </is>
      </c>
      <c r="D44" s="53" t="n"/>
      <c r="E44" s="48" t="n"/>
      <c r="F44" s="48" t="n"/>
      <c r="G44" s="48" t="inlineStr">
        <is>
          <t>Có</t>
        </is>
      </c>
    </row>
    <row r="45">
      <c r="A45" s="48" t="inlineStr">
        <is>
          <t>TT-0044</t>
        </is>
      </c>
      <c r="B45" s="48" t="n"/>
      <c r="C45" s="48" t="inlineStr">
        <is>
          <t>Long</t>
        </is>
      </c>
      <c r="D45" s="53" t="n"/>
      <c r="E45" s="48" t="n"/>
      <c r="F45" s="48" t="n"/>
      <c r="G45" s="48" t="inlineStr">
        <is>
          <t>Có</t>
        </is>
      </c>
    </row>
    <row r="46">
      <c r="A46" s="48" t="inlineStr">
        <is>
          <t>TT-0045</t>
        </is>
      </c>
      <c r="B46" s="48" t="n"/>
      <c r="C46" s="48" t="inlineStr">
        <is>
          <t>Long</t>
        </is>
      </c>
      <c r="D46" s="53" t="n"/>
      <c r="E46" s="48" t="n"/>
      <c r="F46" s="48" t="n"/>
      <c r="G46" s="48" t="inlineStr">
        <is>
          <t>Có</t>
        </is>
      </c>
    </row>
    <row r="47">
      <c r="A47" s="48" t="inlineStr">
        <is>
          <t>TT-0046</t>
        </is>
      </c>
      <c r="B47" s="48" t="n"/>
      <c r="C47" s="48" t="inlineStr">
        <is>
          <t>Long</t>
        </is>
      </c>
      <c r="D47" s="53" t="n"/>
      <c r="E47" s="48" t="n"/>
      <c r="F47" s="48" t="n"/>
      <c r="G47" s="48" t="inlineStr">
        <is>
          <t>Có</t>
        </is>
      </c>
    </row>
    <row r="48">
      <c r="A48" s="48" t="inlineStr">
        <is>
          <t>TT-0047</t>
        </is>
      </c>
      <c r="B48" s="48" t="n"/>
      <c r="C48" s="48" t="inlineStr">
        <is>
          <t>Long</t>
        </is>
      </c>
      <c r="D48" s="53" t="n"/>
      <c r="E48" s="48" t="n"/>
      <c r="F48" s="48" t="n"/>
      <c r="G48" s="48" t="inlineStr">
        <is>
          <t>Có</t>
        </is>
      </c>
    </row>
    <row r="49">
      <c r="A49" s="48" t="inlineStr">
        <is>
          <t>TT-0048</t>
        </is>
      </c>
      <c r="B49" s="48" t="n"/>
      <c r="C49" s="48" t="inlineStr">
        <is>
          <t>Long</t>
        </is>
      </c>
      <c r="D49" s="53" t="n"/>
      <c r="E49" s="48" t="n"/>
      <c r="F49" s="48" t="n"/>
      <c r="G49" s="48" t="inlineStr">
        <is>
          <t>Có</t>
        </is>
      </c>
    </row>
    <row r="50">
      <c r="A50" s="48" t="inlineStr">
        <is>
          <t>TT-0049</t>
        </is>
      </c>
      <c r="B50" s="48" t="n"/>
      <c r="C50" s="48" t="inlineStr">
        <is>
          <t>Long</t>
        </is>
      </c>
      <c r="D50" s="53" t="n"/>
      <c r="E50" s="48" t="n"/>
      <c r="F50" s="48" t="n"/>
      <c r="G50" s="48" t="inlineStr">
        <is>
          <t>Có</t>
        </is>
      </c>
    </row>
    <row r="51">
      <c r="A51" s="48" t="inlineStr">
        <is>
          <t>TT-0050</t>
        </is>
      </c>
      <c r="B51" s="48" t="n"/>
      <c r="C51" s="48" t="inlineStr">
        <is>
          <t>Long</t>
        </is>
      </c>
      <c r="D51" s="53" t="n"/>
      <c r="E51" s="48" t="n"/>
      <c r="F51" s="48" t="n"/>
      <c r="G51" s="48" t="inlineStr">
        <is>
          <t>Có</t>
        </is>
      </c>
    </row>
    <row r="52">
      <c r="A52" s="48" t="inlineStr">
        <is>
          <t>TT-0051</t>
        </is>
      </c>
      <c r="B52" s="48" t="n"/>
      <c r="C52" s="48" t="inlineStr">
        <is>
          <t>Long</t>
        </is>
      </c>
      <c r="D52" s="53" t="n"/>
      <c r="E52" s="48" t="n"/>
      <c r="F52" s="48" t="n"/>
      <c r="G52" s="48" t="inlineStr">
        <is>
          <t>Có</t>
        </is>
      </c>
    </row>
    <row r="53">
      <c r="A53" s="48" t="inlineStr">
        <is>
          <t>TT-0052</t>
        </is>
      </c>
      <c r="B53" s="48" t="n"/>
      <c r="C53" s="48" t="inlineStr">
        <is>
          <t>Long</t>
        </is>
      </c>
      <c r="D53" s="53" t="n"/>
      <c r="E53" s="48" t="n"/>
      <c r="F53" s="48" t="n"/>
      <c r="G53" s="48" t="inlineStr">
        <is>
          <t>Có</t>
        </is>
      </c>
    </row>
    <row r="54">
      <c r="A54" s="48" t="inlineStr">
        <is>
          <t>TT-0053</t>
        </is>
      </c>
      <c r="B54" s="48" t="n"/>
      <c r="C54" s="48" t="inlineStr">
        <is>
          <t>Long</t>
        </is>
      </c>
      <c r="D54" s="53" t="n"/>
      <c r="E54" s="48" t="n"/>
      <c r="F54" s="48" t="n"/>
      <c r="G54" s="48" t="inlineStr">
        <is>
          <t>Có</t>
        </is>
      </c>
    </row>
    <row r="55">
      <c r="A55" s="48" t="inlineStr">
        <is>
          <t>TT-0054</t>
        </is>
      </c>
      <c r="B55" s="48" t="n"/>
      <c r="C55" s="48" t="inlineStr">
        <is>
          <t>Long</t>
        </is>
      </c>
      <c r="D55" s="53" t="n"/>
      <c r="E55" s="48" t="n"/>
      <c r="F55" s="48" t="n"/>
      <c r="G55" s="48" t="inlineStr">
        <is>
          <t>Có</t>
        </is>
      </c>
    </row>
    <row r="56">
      <c r="A56" s="48" t="inlineStr">
        <is>
          <t>TT-0055</t>
        </is>
      </c>
      <c r="B56" s="48" t="n"/>
      <c r="C56" s="48" t="inlineStr">
        <is>
          <t>Long</t>
        </is>
      </c>
      <c r="D56" s="53" t="n"/>
      <c r="E56" s="48" t="n"/>
      <c r="F56" s="48" t="n"/>
      <c r="G56" s="48" t="inlineStr">
        <is>
          <t>Có</t>
        </is>
      </c>
    </row>
    <row r="57">
      <c r="A57" s="48" t="inlineStr">
        <is>
          <t>TT-0056</t>
        </is>
      </c>
      <c r="B57" s="48" t="n"/>
      <c r="C57" s="48" t="inlineStr">
        <is>
          <t>Long</t>
        </is>
      </c>
      <c r="D57" s="53" t="n"/>
      <c r="E57" s="48" t="n"/>
      <c r="F57" s="48" t="n"/>
      <c r="G57" s="48" t="inlineStr">
        <is>
          <t>Có</t>
        </is>
      </c>
    </row>
    <row r="58">
      <c r="A58" s="48" t="inlineStr">
        <is>
          <t>TT-0057</t>
        </is>
      </c>
      <c r="B58" s="48" t="n"/>
      <c r="C58" s="48" t="inlineStr">
        <is>
          <t>Long</t>
        </is>
      </c>
      <c r="D58" s="53" t="n"/>
      <c r="E58" s="48" t="n"/>
      <c r="F58" s="48" t="n"/>
      <c r="G58" s="48" t="inlineStr">
        <is>
          <t>Có</t>
        </is>
      </c>
    </row>
    <row r="59">
      <c r="A59" s="48" t="inlineStr">
        <is>
          <t>TT-0058</t>
        </is>
      </c>
      <c r="B59" s="48" t="n"/>
      <c r="C59" s="48" t="inlineStr">
        <is>
          <t>Long</t>
        </is>
      </c>
      <c r="D59" s="53" t="n"/>
      <c r="E59" s="48" t="n"/>
      <c r="F59" s="48" t="n"/>
      <c r="G59" s="48" t="inlineStr">
        <is>
          <t>Có</t>
        </is>
      </c>
    </row>
    <row r="60">
      <c r="A60" s="48" t="inlineStr">
        <is>
          <t>TT-0059</t>
        </is>
      </c>
      <c r="B60" s="48" t="n"/>
      <c r="C60" s="48" t="inlineStr">
        <is>
          <t>Long</t>
        </is>
      </c>
      <c r="D60" s="53" t="n"/>
      <c r="E60" s="48" t="n"/>
      <c r="F60" s="48" t="n"/>
      <c r="G60" s="48" t="inlineStr">
        <is>
          <t>Có</t>
        </is>
      </c>
    </row>
    <row r="61">
      <c r="A61" s="48" t="inlineStr">
        <is>
          <t>TT-0060</t>
        </is>
      </c>
      <c r="B61" s="48" t="n"/>
      <c r="C61" s="48" t="inlineStr">
        <is>
          <t>Long</t>
        </is>
      </c>
      <c r="D61" s="53" t="n"/>
      <c r="E61" s="48" t="n"/>
      <c r="F61" s="48" t="n"/>
      <c r="G61" s="48" t="inlineStr">
        <is>
          <t>Có</t>
        </is>
      </c>
    </row>
    <row r="62">
      <c r="A62" s="48" t="inlineStr">
        <is>
          <t>TT-0061</t>
        </is>
      </c>
      <c r="B62" s="48" t="n"/>
      <c r="C62" s="48" t="inlineStr">
        <is>
          <t>Long</t>
        </is>
      </c>
      <c r="D62" s="53" t="n"/>
      <c r="E62" s="48" t="n"/>
      <c r="F62" s="48" t="n"/>
      <c r="G62" s="48" t="inlineStr">
        <is>
          <t>Có</t>
        </is>
      </c>
    </row>
    <row r="63">
      <c r="A63" s="48" t="inlineStr">
        <is>
          <t>TT-0062</t>
        </is>
      </c>
      <c r="B63" s="48" t="n"/>
      <c r="C63" s="48" t="inlineStr">
        <is>
          <t>Long</t>
        </is>
      </c>
      <c r="D63" s="53" t="n"/>
      <c r="E63" s="48" t="n"/>
      <c r="F63" s="48" t="n"/>
      <c r="G63" s="48" t="inlineStr">
        <is>
          <t>Có</t>
        </is>
      </c>
    </row>
    <row r="64">
      <c r="A64" s="48" t="inlineStr">
        <is>
          <t>TT-0063</t>
        </is>
      </c>
      <c r="B64" s="48" t="n"/>
      <c r="C64" s="48" t="inlineStr">
        <is>
          <t>Long</t>
        </is>
      </c>
      <c r="D64" s="53" t="n"/>
      <c r="E64" s="48" t="n"/>
      <c r="F64" s="48" t="n"/>
      <c r="G64" s="48" t="inlineStr">
        <is>
          <t>Có</t>
        </is>
      </c>
    </row>
    <row r="65">
      <c r="A65" s="48" t="inlineStr">
        <is>
          <t>TT-0064</t>
        </is>
      </c>
      <c r="B65" s="48" t="n"/>
      <c r="C65" s="48" t="inlineStr">
        <is>
          <t>Long</t>
        </is>
      </c>
      <c r="D65" s="53" t="n"/>
      <c r="E65" s="48" t="n"/>
      <c r="F65" s="48" t="n"/>
      <c r="G65" s="48" t="inlineStr">
        <is>
          <t>Có</t>
        </is>
      </c>
    </row>
    <row r="66">
      <c r="A66" s="48" t="inlineStr">
        <is>
          <t>TT-0065</t>
        </is>
      </c>
      <c r="B66" s="48" t="n"/>
      <c r="C66" s="48" t="inlineStr">
        <is>
          <t>Long</t>
        </is>
      </c>
      <c r="D66" s="53" t="n"/>
      <c r="E66" s="48" t="n"/>
      <c r="F66" s="48" t="n"/>
      <c r="G66" s="48" t="inlineStr">
        <is>
          <t>Có</t>
        </is>
      </c>
    </row>
    <row r="67">
      <c r="A67" s="48" t="inlineStr">
        <is>
          <t>TT-0066</t>
        </is>
      </c>
      <c r="B67" s="48" t="n"/>
      <c r="C67" s="48" t="inlineStr">
        <is>
          <t>Long</t>
        </is>
      </c>
      <c r="D67" s="53" t="n"/>
      <c r="E67" s="48" t="n"/>
      <c r="F67" s="48" t="n"/>
      <c r="G67" s="48" t="inlineStr">
        <is>
          <t>Có</t>
        </is>
      </c>
    </row>
    <row r="68">
      <c r="A68" s="48" t="inlineStr">
        <is>
          <t>TT-0067</t>
        </is>
      </c>
      <c r="B68" s="48" t="n"/>
      <c r="C68" s="48" t="inlineStr">
        <is>
          <t>Long</t>
        </is>
      </c>
      <c r="D68" s="53" t="n"/>
      <c r="E68" s="48" t="n"/>
      <c r="F68" s="48" t="n"/>
      <c r="G68" s="48" t="inlineStr">
        <is>
          <t>Có</t>
        </is>
      </c>
    </row>
    <row r="69">
      <c r="A69" s="48" t="inlineStr">
        <is>
          <t>TT-0068</t>
        </is>
      </c>
      <c r="B69" s="48" t="n"/>
      <c r="C69" s="48" t="inlineStr">
        <is>
          <t>Long</t>
        </is>
      </c>
      <c r="D69" s="53" t="n"/>
      <c r="E69" s="48" t="n"/>
      <c r="F69" s="48" t="n"/>
      <c r="G69" s="48" t="inlineStr">
        <is>
          <t>Có</t>
        </is>
      </c>
    </row>
    <row r="70">
      <c r="A70" s="48" t="inlineStr">
        <is>
          <t>TT-0069</t>
        </is>
      </c>
      <c r="B70" s="48" t="n"/>
      <c r="C70" s="48" t="inlineStr">
        <is>
          <t>Long</t>
        </is>
      </c>
      <c r="D70" s="53" t="n"/>
      <c r="E70" s="48" t="n"/>
      <c r="F70" s="48" t="n"/>
      <c r="G70" s="48" t="inlineStr">
        <is>
          <t>Có</t>
        </is>
      </c>
    </row>
    <row r="71">
      <c r="A71" s="48" t="inlineStr">
        <is>
          <t>TT-0070</t>
        </is>
      </c>
      <c r="B71" s="48" t="n"/>
      <c r="C71" s="48" t="inlineStr">
        <is>
          <t>Long</t>
        </is>
      </c>
      <c r="D71" s="53" t="n"/>
      <c r="E71" s="48" t="n"/>
      <c r="F71" s="48" t="n"/>
      <c r="G71" s="48" t="inlineStr">
        <is>
          <t>Có</t>
        </is>
      </c>
    </row>
    <row r="72">
      <c r="A72" s="48" t="inlineStr">
        <is>
          <t>TT-0071</t>
        </is>
      </c>
      <c r="B72" s="48" t="n"/>
      <c r="C72" s="48" t="inlineStr">
        <is>
          <t>Long</t>
        </is>
      </c>
      <c r="D72" s="53" t="n"/>
      <c r="E72" s="48" t="n"/>
      <c r="F72" s="48" t="n"/>
      <c r="G72" s="48" t="inlineStr">
        <is>
          <t>Có</t>
        </is>
      </c>
    </row>
    <row r="73">
      <c r="A73" s="48" t="inlineStr">
        <is>
          <t>TT-0072</t>
        </is>
      </c>
      <c r="B73" s="48" t="n"/>
      <c r="C73" s="48" t="inlineStr">
        <is>
          <t>Long</t>
        </is>
      </c>
      <c r="D73" s="53" t="n"/>
      <c r="E73" s="48" t="n"/>
      <c r="F73" s="48" t="n"/>
      <c r="G73" s="48" t="inlineStr">
        <is>
          <t>Có</t>
        </is>
      </c>
    </row>
    <row r="74">
      <c r="A74" s="48" t="inlineStr">
        <is>
          <t>TT-0073</t>
        </is>
      </c>
      <c r="B74" s="48" t="n"/>
      <c r="C74" s="48" t="inlineStr">
        <is>
          <t>Long</t>
        </is>
      </c>
      <c r="D74" s="53" t="n"/>
      <c r="E74" s="48" t="n"/>
      <c r="F74" s="48" t="n"/>
      <c r="G74" s="48" t="inlineStr">
        <is>
          <t>Có</t>
        </is>
      </c>
    </row>
    <row r="75">
      <c r="A75" s="48" t="inlineStr">
        <is>
          <t>TT-0074</t>
        </is>
      </c>
      <c r="B75" s="48" t="n"/>
      <c r="C75" s="48" t="inlineStr">
        <is>
          <t>Long</t>
        </is>
      </c>
      <c r="D75" s="53" t="n"/>
      <c r="E75" s="48" t="n"/>
      <c r="F75" s="48" t="n"/>
      <c r="G75" s="48" t="inlineStr">
        <is>
          <t>Có</t>
        </is>
      </c>
    </row>
    <row r="76">
      <c r="A76" s="48" t="inlineStr">
        <is>
          <t>TT-0075</t>
        </is>
      </c>
      <c r="B76" s="48" t="n"/>
      <c r="C76" s="48" t="inlineStr">
        <is>
          <t>Long</t>
        </is>
      </c>
      <c r="D76" s="53" t="n"/>
      <c r="E76" s="48" t="n"/>
      <c r="F76" s="48" t="n"/>
      <c r="G76" s="48" t="inlineStr">
        <is>
          <t>Có</t>
        </is>
      </c>
    </row>
    <row r="77">
      <c r="A77" s="48" t="inlineStr">
        <is>
          <t>TT-0076</t>
        </is>
      </c>
      <c r="B77" s="48" t="n"/>
      <c r="C77" s="48" t="inlineStr">
        <is>
          <t>Long</t>
        </is>
      </c>
      <c r="D77" s="53" t="n"/>
      <c r="E77" s="48" t="n"/>
      <c r="F77" s="48" t="n"/>
      <c r="G77" s="48" t="inlineStr">
        <is>
          <t>Có</t>
        </is>
      </c>
    </row>
    <row r="78">
      <c r="A78" s="48" t="inlineStr">
        <is>
          <t>TT-0077</t>
        </is>
      </c>
      <c r="B78" s="48" t="n"/>
      <c r="C78" s="48" t="inlineStr">
        <is>
          <t>Long</t>
        </is>
      </c>
      <c r="D78" s="53" t="n"/>
      <c r="E78" s="48" t="n"/>
      <c r="F78" s="48" t="n"/>
      <c r="G78" s="48" t="inlineStr">
        <is>
          <t>Có</t>
        </is>
      </c>
    </row>
    <row r="79">
      <c r="A79" s="48" t="inlineStr">
        <is>
          <t>TT-0078</t>
        </is>
      </c>
      <c r="B79" s="48" t="n"/>
      <c r="C79" s="48" t="inlineStr">
        <is>
          <t>Long</t>
        </is>
      </c>
      <c r="D79" s="53" t="n"/>
      <c r="E79" s="48" t="n"/>
      <c r="F79" s="48" t="n"/>
      <c r="G79" s="48" t="inlineStr">
        <is>
          <t>Có</t>
        </is>
      </c>
    </row>
  </sheetData>
  <autoFilter ref="A1:G1"/>
  <dataValidations count="2">
    <dataValidation sqref="C2:C500" showDropDown="0" showInputMessage="0" showErrorMessage="0" allowBlank="0" type="list">
      <formula1>'Đối tác'!$A$2:$A$200</formula1>
    </dataValidation>
    <dataValidation sqref="G2:G500" showDropDown="0" showInputMessage="0" showErrorMessage="0" allowBlank="0" type="list">
      <formula1>"Có,Không"</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9"/>
  <sheetViews>
    <sheetView showGridLines="0" workbookViewId="0">
      <pane ySplit="1" topLeftCell="A2" activePane="bottomLeft" state="frozen"/>
      <selection pane="bottomLeft" activeCell="A1" sqref="A1"/>
    </sheetView>
  </sheetViews>
  <sheetFormatPr baseColWidth="8" defaultRowHeight="15"/>
  <cols>
    <col width="16" customWidth="1" style="46" min="1" max="1"/>
    <col width="16" customWidth="1" style="46" min="2" max="2"/>
    <col width="16" customWidth="1" style="46" min="3" max="3"/>
    <col width="34" customWidth="1" style="46" min="4" max="4"/>
    <col width="16" customWidth="1" style="46" min="5" max="5"/>
    <col width="16" customWidth="1" style="46" min="6" max="6"/>
    <col width="16" customWidth="1" style="46" min="7" max="7"/>
    <col width="16" customWidth="1" style="46" min="8" max="8"/>
    <col width="16" customWidth="1" style="46" min="9" max="9"/>
    <col width="54" customWidth="1" style="46" min="10" max="10"/>
    <col width="18" customWidth="1" style="46" min="11" max="11"/>
  </cols>
  <sheetData>
    <row r="1" ht="28" customHeight="1" s="46">
      <c r="A1" s="54" t="inlineStr">
        <is>
          <t>Mã trả</t>
        </is>
      </c>
      <c r="B1" s="54" t="inlineStr">
        <is>
          <t>Ngày</t>
        </is>
      </c>
      <c r="C1" s="54" t="inlineStr">
        <is>
          <t>Đối tác</t>
        </is>
      </c>
      <c r="D1" s="54" t="inlineStr">
        <is>
          <t>Tên hàng</t>
        </is>
      </c>
      <c r="E1" s="54" t="inlineStr">
        <is>
          <t>Loại</t>
        </is>
      </c>
      <c r="F1" s="54" t="inlineStr">
        <is>
          <t>Số lượng</t>
        </is>
      </c>
      <c r="G1" s="54" t="inlineStr">
        <is>
          <t>Đơn giá</t>
        </is>
      </c>
      <c r="H1" s="54" t="inlineStr">
        <is>
          <t>Thành tiền</t>
        </is>
      </c>
      <c r="I1" s="54" t="inlineStr">
        <is>
          <t>Tính công nợ</t>
        </is>
      </c>
      <c r="J1" s="54" t="inlineStr">
        <is>
          <t>Lý do/Ghi chú</t>
        </is>
      </c>
      <c r="K1" s="54" t="inlineStr">
        <is>
          <t>Dòng gốc</t>
        </is>
      </c>
    </row>
    <row r="2">
      <c r="A2" s="48" t="inlineStr">
        <is>
          <t>TR-0001</t>
        </is>
      </c>
      <c r="B2" s="48" t="inlineStr"/>
      <c r="C2" s="48" t="inlineStr">
        <is>
          <t>Long</t>
        </is>
      </c>
      <c r="D2" s="48" t="inlineStr">
        <is>
          <t>A123</t>
        </is>
      </c>
      <c r="E2" s="48" t="inlineStr"/>
      <c r="F2" s="48" t="n">
        <v>50</v>
      </c>
      <c r="G2" s="53" t="inlineStr"/>
      <c r="H2" s="53" t="n">
        <v>1150000</v>
      </c>
      <c r="I2" s="48" t="inlineStr">
        <is>
          <t>Không</t>
        </is>
      </c>
      <c r="J2" s="48" t="inlineStr">
        <is>
          <t>Đã gộp trong số dư chốt 07/05/2026; giữ lại để đối chiếu.</t>
        </is>
      </c>
      <c r="K2" s="48" t="inlineStr">
        <is>
          <t>Đơn trả lại!A4:E4</t>
        </is>
      </c>
    </row>
    <row r="3">
      <c r="A3" s="48" t="inlineStr">
        <is>
          <t>TR-0002</t>
        </is>
      </c>
      <c r="B3" s="48" t="inlineStr"/>
      <c r="C3" s="48" t="inlineStr">
        <is>
          <t>Long</t>
        </is>
      </c>
      <c r="D3" s="48" t="inlineStr">
        <is>
          <t>MÁY MÀI MKT TQ</t>
        </is>
      </c>
      <c r="E3" s="48" t="inlineStr"/>
      <c r="F3" s="48" t="n">
        <v>1</v>
      </c>
      <c r="G3" s="53" t="inlineStr"/>
      <c r="H3" s="53" t="n">
        <v>350000</v>
      </c>
      <c r="I3" s="48" t="inlineStr">
        <is>
          <t>Không</t>
        </is>
      </c>
      <c r="J3" s="48" t="inlineStr">
        <is>
          <t>Đã gộp trong số dư chốt 07/05/2026; giữ lại để đối chiếu.</t>
        </is>
      </c>
      <c r="K3" s="48" t="inlineStr">
        <is>
          <t>Đơn trả lại!A5:E5</t>
        </is>
      </c>
    </row>
    <row r="4">
      <c r="A4" s="48" t="inlineStr">
        <is>
          <t>TR-0003</t>
        </is>
      </c>
      <c r="B4" s="48" t="inlineStr"/>
      <c r="C4" s="48" t="inlineStr">
        <is>
          <t>Long</t>
        </is>
      </c>
      <c r="D4" s="48" t="inlineStr">
        <is>
          <t>PIN21700</t>
        </is>
      </c>
      <c r="E4" s="48" t="inlineStr"/>
      <c r="F4" s="48" t="n">
        <v>5</v>
      </c>
      <c r="G4" s="53" t="inlineStr"/>
      <c r="H4" s="53" t="inlineStr"/>
      <c r="I4" s="48" t="inlineStr">
        <is>
          <t>Không</t>
        </is>
      </c>
      <c r="J4" s="48" t="inlineStr">
        <is>
          <t>Đã gộp trong số dư chốt 07/05/2026; giữ lại để đối chiếu.</t>
        </is>
      </c>
      <c r="K4" s="48" t="inlineStr">
        <is>
          <t>Đơn trả lại!A6:E6</t>
        </is>
      </c>
    </row>
    <row r="5">
      <c r="A5" s="48" t="inlineStr">
        <is>
          <t>TR-0004</t>
        </is>
      </c>
      <c r="B5" s="48" t="inlineStr"/>
      <c r="C5" s="48" t="inlineStr">
        <is>
          <t>Long</t>
        </is>
      </c>
      <c r="D5" s="48" t="inlineStr">
        <is>
          <t>FIN18600</t>
        </is>
      </c>
      <c r="E5" s="48" t="inlineStr"/>
      <c r="F5" s="48" t="n">
        <v>6</v>
      </c>
      <c r="G5" s="53" t="inlineStr"/>
      <c r="H5" s="53" t="inlineStr"/>
      <c r="I5" s="48" t="inlineStr">
        <is>
          <t>Không</t>
        </is>
      </c>
      <c r="J5" s="48" t="inlineStr">
        <is>
          <t>Đã gộp trong số dư chốt 07/05/2026; giữ lại để đối chiếu.</t>
        </is>
      </c>
      <c r="K5" s="48" t="inlineStr">
        <is>
          <t>Đơn trả lại!A7:E7</t>
        </is>
      </c>
    </row>
    <row r="6">
      <c r="A6" s="48" t="inlineStr">
        <is>
          <t>TR-0005</t>
        </is>
      </c>
      <c r="B6" s="48" t="n"/>
      <c r="C6" s="48" t="inlineStr">
        <is>
          <t>Long</t>
        </is>
      </c>
      <c r="D6" s="48" t="n"/>
      <c r="E6" s="48" t="n"/>
      <c r="F6" s="48" t="n"/>
      <c r="G6" s="53" t="n"/>
      <c r="H6" s="53">
        <f>IF(OR(F6="",G6=""),"",F6*G6)</f>
        <v/>
      </c>
      <c r="I6" s="48" t="inlineStr">
        <is>
          <t>Có</t>
        </is>
      </c>
      <c r="J6" s="48" t="n"/>
      <c r="K6" s="48" t="n"/>
    </row>
    <row r="7">
      <c r="A7" s="48" t="inlineStr">
        <is>
          <t>TR-0006</t>
        </is>
      </c>
      <c r="B7" s="48" t="n"/>
      <c r="C7" s="48" t="inlineStr">
        <is>
          <t>Long</t>
        </is>
      </c>
      <c r="D7" s="48" t="n"/>
      <c r="E7" s="48" t="n"/>
      <c r="F7" s="48" t="n"/>
      <c r="G7" s="53" t="n"/>
      <c r="H7" s="53">
        <f>IF(OR(F7="",G7=""),"",F7*G7)</f>
        <v/>
      </c>
      <c r="I7" s="48" t="inlineStr">
        <is>
          <t>Có</t>
        </is>
      </c>
      <c r="J7" s="48" t="n"/>
      <c r="K7" s="48" t="n"/>
    </row>
    <row r="8">
      <c r="A8" s="48" t="inlineStr">
        <is>
          <t>TR-0007</t>
        </is>
      </c>
      <c r="B8" s="48" t="n"/>
      <c r="C8" s="48" t="inlineStr">
        <is>
          <t>Long</t>
        </is>
      </c>
      <c r="D8" s="48" t="n"/>
      <c r="E8" s="48" t="n"/>
      <c r="F8" s="48" t="n"/>
      <c r="G8" s="53" t="n"/>
      <c r="H8" s="53">
        <f>IF(OR(F8="",G8=""),"",F8*G8)</f>
        <v/>
      </c>
      <c r="I8" s="48" t="inlineStr">
        <is>
          <t>Có</t>
        </is>
      </c>
      <c r="J8" s="48" t="n"/>
      <c r="K8" s="48" t="n"/>
    </row>
    <row r="9">
      <c r="A9" s="48" t="inlineStr">
        <is>
          <t>TR-0008</t>
        </is>
      </c>
      <c r="B9" s="48" t="n"/>
      <c r="C9" s="48" t="inlineStr">
        <is>
          <t>Long</t>
        </is>
      </c>
      <c r="D9" s="48" t="n"/>
      <c r="E9" s="48" t="n"/>
      <c r="F9" s="48" t="n"/>
      <c r="G9" s="53" t="n"/>
      <c r="H9" s="53">
        <f>IF(OR(F9="",G9=""),"",F9*G9)</f>
        <v/>
      </c>
      <c r="I9" s="48" t="inlineStr">
        <is>
          <t>Có</t>
        </is>
      </c>
      <c r="J9" s="48" t="n"/>
      <c r="K9" s="48" t="n"/>
    </row>
    <row r="10">
      <c r="A10" s="48" t="inlineStr">
        <is>
          <t>TR-0009</t>
        </is>
      </c>
      <c r="B10" s="48" t="n"/>
      <c r="C10" s="48" t="inlineStr">
        <is>
          <t>Long</t>
        </is>
      </c>
      <c r="D10" s="48" t="n"/>
      <c r="E10" s="48" t="n"/>
      <c r="F10" s="48" t="n"/>
      <c r="G10" s="53" t="n"/>
      <c r="H10" s="53">
        <f>IF(OR(F10="",G10=""),"",F10*G10)</f>
        <v/>
      </c>
      <c r="I10" s="48" t="inlineStr">
        <is>
          <t>Có</t>
        </is>
      </c>
      <c r="J10" s="48" t="n"/>
      <c r="K10" s="48" t="n"/>
    </row>
    <row r="11">
      <c r="A11" s="48" t="inlineStr">
        <is>
          <t>TR-0010</t>
        </is>
      </c>
      <c r="B11" s="48" t="n"/>
      <c r="C11" s="48" t="inlineStr">
        <is>
          <t>Long</t>
        </is>
      </c>
      <c r="D11" s="48" t="n"/>
      <c r="E11" s="48" t="n"/>
      <c r="F11" s="48" t="n"/>
      <c r="G11" s="53" t="n"/>
      <c r="H11" s="53">
        <f>IF(OR(F11="",G11=""),"",F11*G11)</f>
        <v/>
      </c>
      <c r="I11" s="48" t="inlineStr">
        <is>
          <t>Có</t>
        </is>
      </c>
      <c r="J11" s="48" t="n"/>
      <c r="K11" s="48" t="n"/>
    </row>
    <row r="12">
      <c r="A12" s="48" t="inlineStr">
        <is>
          <t>TR-0011</t>
        </is>
      </c>
      <c r="B12" s="48" t="n"/>
      <c r="C12" s="48" t="inlineStr">
        <is>
          <t>Long</t>
        </is>
      </c>
      <c r="D12" s="48" t="n"/>
      <c r="E12" s="48" t="n"/>
      <c r="F12" s="48" t="n"/>
      <c r="G12" s="53" t="n"/>
      <c r="H12" s="53">
        <f>IF(OR(F12="",G12=""),"",F12*G12)</f>
        <v/>
      </c>
      <c r="I12" s="48" t="inlineStr">
        <is>
          <t>Có</t>
        </is>
      </c>
      <c r="J12" s="48" t="n"/>
      <c r="K12" s="48" t="n"/>
    </row>
    <row r="13">
      <c r="A13" s="48" t="inlineStr">
        <is>
          <t>TR-0012</t>
        </is>
      </c>
      <c r="B13" s="48" t="n"/>
      <c r="C13" s="48" t="inlineStr">
        <is>
          <t>Long</t>
        </is>
      </c>
      <c r="D13" s="48" t="n"/>
      <c r="E13" s="48" t="n"/>
      <c r="F13" s="48" t="n"/>
      <c r="G13" s="53" t="n"/>
      <c r="H13" s="53">
        <f>IF(OR(F13="",G13=""),"",F13*G13)</f>
        <v/>
      </c>
      <c r="I13" s="48" t="inlineStr">
        <is>
          <t>Có</t>
        </is>
      </c>
      <c r="J13" s="48" t="n"/>
      <c r="K13" s="48" t="n"/>
    </row>
    <row r="14">
      <c r="A14" s="48" t="inlineStr">
        <is>
          <t>TR-0013</t>
        </is>
      </c>
      <c r="B14" s="48" t="n"/>
      <c r="C14" s="48" t="inlineStr">
        <is>
          <t>Long</t>
        </is>
      </c>
      <c r="D14" s="48" t="n"/>
      <c r="E14" s="48" t="n"/>
      <c r="F14" s="48" t="n"/>
      <c r="G14" s="53" t="n"/>
      <c r="H14" s="53">
        <f>IF(OR(F14="",G14=""),"",F14*G14)</f>
        <v/>
      </c>
      <c r="I14" s="48" t="inlineStr">
        <is>
          <t>Có</t>
        </is>
      </c>
      <c r="J14" s="48" t="n"/>
      <c r="K14" s="48" t="n"/>
    </row>
    <row r="15">
      <c r="A15" s="48" t="inlineStr">
        <is>
          <t>TR-0014</t>
        </is>
      </c>
      <c r="B15" s="48" t="n"/>
      <c r="C15" s="48" t="inlineStr">
        <is>
          <t>Long</t>
        </is>
      </c>
      <c r="D15" s="48" t="n"/>
      <c r="E15" s="48" t="n"/>
      <c r="F15" s="48" t="n"/>
      <c r="G15" s="53" t="n"/>
      <c r="H15" s="53">
        <f>IF(OR(F15="",G15=""),"",F15*G15)</f>
        <v/>
      </c>
      <c r="I15" s="48" t="inlineStr">
        <is>
          <t>Có</t>
        </is>
      </c>
      <c r="J15" s="48" t="n"/>
      <c r="K15" s="48" t="n"/>
    </row>
    <row r="16">
      <c r="A16" s="48" t="inlineStr">
        <is>
          <t>TR-0015</t>
        </is>
      </c>
      <c r="B16" s="48" t="n"/>
      <c r="C16" s="48" t="inlineStr">
        <is>
          <t>Long</t>
        </is>
      </c>
      <c r="D16" s="48" t="n"/>
      <c r="E16" s="48" t="n"/>
      <c r="F16" s="48" t="n"/>
      <c r="G16" s="53" t="n"/>
      <c r="H16" s="53">
        <f>IF(OR(F16="",G16=""),"",F16*G16)</f>
        <v/>
      </c>
      <c r="I16" s="48" t="inlineStr">
        <is>
          <t>Có</t>
        </is>
      </c>
      <c r="J16" s="48" t="n"/>
      <c r="K16" s="48" t="n"/>
    </row>
    <row r="17">
      <c r="A17" s="48" t="inlineStr">
        <is>
          <t>TR-0016</t>
        </is>
      </c>
      <c r="B17" s="48" t="n"/>
      <c r="C17" s="48" t="inlineStr">
        <is>
          <t>Long</t>
        </is>
      </c>
      <c r="D17" s="48" t="n"/>
      <c r="E17" s="48" t="n"/>
      <c r="F17" s="48" t="n"/>
      <c r="G17" s="53" t="n"/>
      <c r="H17" s="53">
        <f>IF(OR(F17="",G17=""),"",F17*G17)</f>
        <v/>
      </c>
      <c r="I17" s="48" t="inlineStr">
        <is>
          <t>Có</t>
        </is>
      </c>
      <c r="J17" s="48" t="n"/>
      <c r="K17" s="48" t="n"/>
    </row>
    <row r="18">
      <c r="A18" s="48" t="inlineStr">
        <is>
          <t>TR-0017</t>
        </is>
      </c>
      <c r="B18" s="48" t="n"/>
      <c r="C18" s="48" t="inlineStr">
        <is>
          <t>Long</t>
        </is>
      </c>
      <c r="D18" s="48" t="n"/>
      <c r="E18" s="48" t="n"/>
      <c r="F18" s="48" t="n"/>
      <c r="G18" s="53" t="n"/>
      <c r="H18" s="53">
        <f>IF(OR(F18="",G18=""),"",F18*G18)</f>
        <v/>
      </c>
      <c r="I18" s="48" t="inlineStr">
        <is>
          <t>Có</t>
        </is>
      </c>
      <c r="J18" s="48" t="n"/>
      <c r="K18" s="48" t="n"/>
    </row>
    <row r="19">
      <c r="A19" s="48" t="inlineStr">
        <is>
          <t>TR-0018</t>
        </is>
      </c>
      <c r="B19" s="48" t="n"/>
      <c r="C19" s="48" t="inlineStr">
        <is>
          <t>Long</t>
        </is>
      </c>
      <c r="D19" s="48" t="n"/>
      <c r="E19" s="48" t="n"/>
      <c r="F19" s="48" t="n"/>
      <c r="G19" s="53" t="n"/>
      <c r="H19" s="53">
        <f>IF(OR(F19="",G19=""),"",F19*G19)</f>
        <v/>
      </c>
      <c r="I19" s="48" t="inlineStr">
        <is>
          <t>Có</t>
        </is>
      </c>
      <c r="J19" s="48" t="n"/>
      <c r="K19" s="48" t="n"/>
    </row>
    <row r="20">
      <c r="A20" s="48" t="inlineStr">
        <is>
          <t>TR-0019</t>
        </is>
      </c>
      <c r="B20" s="48" t="n"/>
      <c r="C20" s="48" t="inlineStr">
        <is>
          <t>Long</t>
        </is>
      </c>
      <c r="D20" s="48" t="n"/>
      <c r="E20" s="48" t="n"/>
      <c r="F20" s="48" t="n"/>
      <c r="G20" s="53" t="n"/>
      <c r="H20" s="53">
        <f>IF(OR(F20="",G20=""),"",F20*G20)</f>
        <v/>
      </c>
      <c r="I20" s="48" t="inlineStr">
        <is>
          <t>Có</t>
        </is>
      </c>
      <c r="J20" s="48" t="n"/>
      <c r="K20" s="48" t="n"/>
    </row>
    <row r="21">
      <c r="A21" s="48" t="inlineStr">
        <is>
          <t>TR-0020</t>
        </is>
      </c>
      <c r="B21" s="48" t="n"/>
      <c r="C21" s="48" t="inlineStr">
        <is>
          <t>Long</t>
        </is>
      </c>
      <c r="D21" s="48" t="n"/>
      <c r="E21" s="48" t="n"/>
      <c r="F21" s="48" t="n"/>
      <c r="G21" s="53" t="n"/>
      <c r="H21" s="53">
        <f>IF(OR(F21="",G21=""),"",F21*G21)</f>
        <v/>
      </c>
      <c r="I21" s="48" t="inlineStr">
        <is>
          <t>Có</t>
        </is>
      </c>
      <c r="J21" s="48" t="n"/>
      <c r="K21" s="48" t="n"/>
    </row>
    <row r="22">
      <c r="A22" s="48" t="inlineStr">
        <is>
          <t>TR-0021</t>
        </is>
      </c>
      <c r="B22" s="48" t="n"/>
      <c r="C22" s="48" t="inlineStr">
        <is>
          <t>Long</t>
        </is>
      </c>
      <c r="D22" s="48" t="n"/>
      <c r="E22" s="48" t="n"/>
      <c r="F22" s="48" t="n"/>
      <c r="G22" s="53" t="n"/>
      <c r="H22" s="53">
        <f>IF(OR(F22="",G22=""),"",F22*G22)</f>
        <v/>
      </c>
      <c r="I22" s="48" t="inlineStr">
        <is>
          <t>Có</t>
        </is>
      </c>
      <c r="J22" s="48" t="n"/>
      <c r="K22" s="48" t="n"/>
    </row>
    <row r="23">
      <c r="A23" s="48" t="inlineStr">
        <is>
          <t>TR-0022</t>
        </is>
      </c>
      <c r="B23" s="48" t="n"/>
      <c r="C23" s="48" t="inlineStr">
        <is>
          <t>Long</t>
        </is>
      </c>
      <c r="D23" s="48" t="n"/>
      <c r="E23" s="48" t="n"/>
      <c r="F23" s="48" t="n"/>
      <c r="G23" s="53" t="n"/>
      <c r="H23" s="53">
        <f>IF(OR(F23="",G23=""),"",F23*G23)</f>
        <v/>
      </c>
      <c r="I23" s="48" t="inlineStr">
        <is>
          <t>Có</t>
        </is>
      </c>
      <c r="J23" s="48" t="n"/>
      <c r="K23" s="48" t="n"/>
    </row>
    <row r="24">
      <c r="A24" s="48" t="inlineStr">
        <is>
          <t>TR-0023</t>
        </is>
      </c>
      <c r="B24" s="48" t="n"/>
      <c r="C24" s="48" t="inlineStr">
        <is>
          <t>Long</t>
        </is>
      </c>
      <c r="D24" s="48" t="n"/>
      <c r="E24" s="48" t="n"/>
      <c r="F24" s="48" t="n"/>
      <c r="G24" s="53" t="n"/>
      <c r="H24" s="53">
        <f>IF(OR(F24="",G24=""),"",F24*G24)</f>
        <v/>
      </c>
      <c r="I24" s="48" t="inlineStr">
        <is>
          <t>Có</t>
        </is>
      </c>
      <c r="J24" s="48" t="n"/>
      <c r="K24" s="48" t="n"/>
    </row>
    <row r="25">
      <c r="A25" s="48" t="inlineStr">
        <is>
          <t>TR-0024</t>
        </is>
      </c>
      <c r="B25" s="48" t="n"/>
      <c r="C25" s="48" t="inlineStr">
        <is>
          <t>Long</t>
        </is>
      </c>
      <c r="D25" s="48" t="n"/>
      <c r="E25" s="48" t="n"/>
      <c r="F25" s="48" t="n"/>
      <c r="G25" s="53" t="n"/>
      <c r="H25" s="53">
        <f>IF(OR(F25="",G25=""),"",F25*G25)</f>
        <v/>
      </c>
      <c r="I25" s="48" t="inlineStr">
        <is>
          <t>Có</t>
        </is>
      </c>
      <c r="J25" s="48" t="n"/>
      <c r="K25" s="48" t="n"/>
    </row>
    <row r="26">
      <c r="A26" s="48" t="inlineStr">
        <is>
          <t>TR-0025</t>
        </is>
      </c>
      <c r="B26" s="48" t="n"/>
      <c r="C26" s="48" t="inlineStr">
        <is>
          <t>Long</t>
        </is>
      </c>
      <c r="D26" s="48" t="n"/>
      <c r="E26" s="48" t="n"/>
      <c r="F26" s="48" t="n"/>
      <c r="G26" s="53" t="n"/>
      <c r="H26" s="53">
        <f>IF(OR(F26="",G26=""),"",F26*G26)</f>
        <v/>
      </c>
      <c r="I26" s="48" t="inlineStr">
        <is>
          <t>Có</t>
        </is>
      </c>
      <c r="J26" s="48" t="n"/>
      <c r="K26" s="48" t="n"/>
    </row>
    <row r="27">
      <c r="A27" s="48" t="inlineStr">
        <is>
          <t>TR-0026</t>
        </is>
      </c>
      <c r="B27" s="48" t="n"/>
      <c r="C27" s="48" t="inlineStr">
        <is>
          <t>Long</t>
        </is>
      </c>
      <c r="D27" s="48" t="n"/>
      <c r="E27" s="48" t="n"/>
      <c r="F27" s="48" t="n"/>
      <c r="G27" s="53" t="n"/>
      <c r="H27" s="53">
        <f>IF(OR(F27="",G27=""),"",F27*G27)</f>
        <v/>
      </c>
      <c r="I27" s="48" t="inlineStr">
        <is>
          <t>Có</t>
        </is>
      </c>
      <c r="J27" s="48" t="n"/>
      <c r="K27" s="48" t="n"/>
    </row>
    <row r="28">
      <c r="A28" s="48" t="inlineStr">
        <is>
          <t>TR-0027</t>
        </is>
      </c>
      <c r="B28" s="48" t="n"/>
      <c r="C28" s="48" t="inlineStr">
        <is>
          <t>Long</t>
        </is>
      </c>
      <c r="D28" s="48" t="n"/>
      <c r="E28" s="48" t="n"/>
      <c r="F28" s="48" t="n"/>
      <c r="G28" s="53" t="n"/>
      <c r="H28" s="53">
        <f>IF(OR(F28="",G28=""),"",F28*G28)</f>
        <v/>
      </c>
      <c r="I28" s="48" t="inlineStr">
        <is>
          <t>Có</t>
        </is>
      </c>
      <c r="J28" s="48" t="n"/>
      <c r="K28" s="48" t="n"/>
    </row>
    <row r="29">
      <c r="A29" s="48" t="inlineStr">
        <is>
          <t>TR-0028</t>
        </is>
      </c>
      <c r="B29" s="48" t="n"/>
      <c r="C29" s="48" t="inlineStr">
        <is>
          <t>Long</t>
        </is>
      </c>
      <c r="D29" s="48" t="n"/>
      <c r="E29" s="48" t="n"/>
      <c r="F29" s="48" t="n"/>
      <c r="G29" s="53" t="n"/>
      <c r="H29" s="53">
        <f>IF(OR(F29="",G29=""),"",F29*G29)</f>
        <v/>
      </c>
      <c r="I29" s="48" t="inlineStr">
        <is>
          <t>Có</t>
        </is>
      </c>
      <c r="J29" s="48" t="n"/>
      <c r="K29" s="48" t="n"/>
    </row>
    <row r="30">
      <c r="A30" s="48" t="inlineStr">
        <is>
          <t>TR-0029</t>
        </is>
      </c>
      <c r="B30" s="48" t="n"/>
      <c r="C30" s="48" t="inlineStr">
        <is>
          <t>Long</t>
        </is>
      </c>
      <c r="D30" s="48" t="n"/>
      <c r="E30" s="48" t="n"/>
      <c r="F30" s="48" t="n"/>
      <c r="G30" s="53" t="n"/>
      <c r="H30" s="53">
        <f>IF(OR(F30="",G30=""),"",F30*G30)</f>
        <v/>
      </c>
      <c r="I30" s="48" t="inlineStr">
        <is>
          <t>Có</t>
        </is>
      </c>
      <c r="J30" s="48" t="n"/>
      <c r="K30" s="48" t="n"/>
    </row>
    <row r="31">
      <c r="A31" s="48" t="inlineStr">
        <is>
          <t>TR-0030</t>
        </is>
      </c>
      <c r="B31" s="48" t="n"/>
      <c r="C31" s="48" t="inlineStr">
        <is>
          <t>Long</t>
        </is>
      </c>
      <c r="D31" s="48" t="n"/>
      <c r="E31" s="48" t="n"/>
      <c r="F31" s="48" t="n"/>
      <c r="G31" s="53" t="n"/>
      <c r="H31" s="53">
        <f>IF(OR(F31="",G31=""),"",F31*G31)</f>
        <v/>
      </c>
      <c r="I31" s="48" t="inlineStr">
        <is>
          <t>Có</t>
        </is>
      </c>
      <c r="J31" s="48" t="n"/>
      <c r="K31" s="48" t="n"/>
    </row>
    <row r="32">
      <c r="A32" s="48" t="inlineStr">
        <is>
          <t>TR-0031</t>
        </is>
      </c>
      <c r="B32" s="48" t="n"/>
      <c r="C32" s="48" t="inlineStr">
        <is>
          <t>Long</t>
        </is>
      </c>
      <c r="D32" s="48" t="n"/>
      <c r="E32" s="48" t="n"/>
      <c r="F32" s="48" t="n"/>
      <c r="G32" s="53" t="n"/>
      <c r="H32" s="53">
        <f>IF(OR(F32="",G32=""),"",F32*G32)</f>
        <v/>
      </c>
      <c r="I32" s="48" t="inlineStr">
        <is>
          <t>Có</t>
        </is>
      </c>
      <c r="J32" s="48" t="n"/>
      <c r="K32" s="48" t="n"/>
    </row>
    <row r="33">
      <c r="A33" s="48" t="inlineStr">
        <is>
          <t>TR-0032</t>
        </is>
      </c>
      <c r="B33" s="48" t="n"/>
      <c r="C33" s="48" t="inlineStr">
        <is>
          <t>Long</t>
        </is>
      </c>
      <c r="D33" s="48" t="n"/>
      <c r="E33" s="48" t="n"/>
      <c r="F33" s="48" t="n"/>
      <c r="G33" s="53" t="n"/>
      <c r="H33" s="53">
        <f>IF(OR(F33="",G33=""),"",F33*G33)</f>
        <v/>
      </c>
      <c r="I33" s="48" t="inlineStr">
        <is>
          <t>Có</t>
        </is>
      </c>
      <c r="J33" s="48" t="n"/>
      <c r="K33" s="48" t="n"/>
    </row>
    <row r="34">
      <c r="A34" s="48" t="inlineStr">
        <is>
          <t>TR-0033</t>
        </is>
      </c>
      <c r="B34" s="48" t="n"/>
      <c r="C34" s="48" t="inlineStr">
        <is>
          <t>Long</t>
        </is>
      </c>
      <c r="D34" s="48" t="n"/>
      <c r="E34" s="48" t="n"/>
      <c r="F34" s="48" t="n"/>
      <c r="G34" s="53" t="n"/>
      <c r="H34" s="53">
        <f>IF(OR(F34="",G34=""),"",F34*G34)</f>
        <v/>
      </c>
      <c r="I34" s="48" t="inlineStr">
        <is>
          <t>Có</t>
        </is>
      </c>
      <c r="J34" s="48" t="n"/>
      <c r="K34" s="48" t="n"/>
    </row>
    <row r="35">
      <c r="A35" s="48" t="inlineStr">
        <is>
          <t>TR-0034</t>
        </is>
      </c>
      <c r="B35" s="48" t="n"/>
      <c r="C35" s="48" t="inlineStr">
        <is>
          <t>Long</t>
        </is>
      </c>
      <c r="D35" s="48" t="n"/>
      <c r="E35" s="48" t="n"/>
      <c r="F35" s="48" t="n"/>
      <c r="G35" s="53" t="n"/>
      <c r="H35" s="53">
        <f>IF(OR(F35="",G35=""),"",F35*G35)</f>
        <v/>
      </c>
      <c r="I35" s="48" t="inlineStr">
        <is>
          <t>Có</t>
        </is>
      </c>
      <c r="J35" s="48" t="n"/>
      <c r="K35" s="48" t="n"/>
    </row>
    <row r="36">
      <c r="A36" s="48" t="inlineStr">
        <is>
          <t>TR-0035</t>
        </is>
      </c>
      <c r="B36" s="48" t="n"/>
      <c r="C36" s="48" t="inlineStr">
        <is>
          <t>Long</t>
        </is>
      </c>
      <c r="D36" s="48" t="n"/>
      <c r="E36" s="48" t="n"/>
      <c r="F36" s="48" t="n"/>
      <c r="G36" s="53" t="n"/>
      <c r="H36" s="53">
        <f>IF(OR(F36="",G36=""),"",F36*G36)</f>
        <v/>
      </c>
      <c r="I36" s="48" t="inlineStr">
        <is>
          <t>Có</t>
        </is>
      </c>
      <c r="J36" s="48" t="n"/>
      <c r="K36" s="48" t="n"/>
    </row>
    <row r="37">
      <c r="A37" s="48" t="inlineStr">
        <is>
          <t>TR-0036</t>
        </is>
      </c>
      <c r="B37" s="48" t="n"/>
      <c r="C37" s="48" t="inlineStr">
        <is>
          <t>Long</t>
        </is>
      </c>
      <c r="D37" s="48" t="n"/>
      <c r="E37" s="48" t="n"/>
      <c r="F37" s="48" t="n"/>
      <c r="G37" s="53" t="n"/>
      <c r="H37" s="53">
        <f>IF(OR(F37="",G37=""),"",F37*G37)</f>
        <v/>
      </c>
      <c r="I37" s="48" t="inlineStr">
        <is>
          <t>Có</t>
        </is>
      </c>
      <c r="J37" s="48" t="n"/>
      <c r="K37" s="48" t="n"/>
    </row>
    <row r="38">
      <c r="A38" s="48" t="inlineStr">
        <is>
          <t>TR-0037</t>
        </is>
      </c>
      <c r="B38" s="48" t="n"/>
      <c r="C38" s="48" t="inlineStr">
        <is>
          <t>Long</t>
        </is>
      </c>
      <c r="D38" s="48" t="n"/>
      <c r="E38" s="48" t="n"/>
      <c r="F38" s="48" t="n"/>
      <c r="G38" s="53" t="n"/>
      <c r="H38" s="53">
        <f>IF(OR(F38="",G38=""),"",F38*G38)</f>
        <v/>
      </c>
      <c r="I38" s="48" t="inlineStr">
        <is>
          <t>Có</t>
        </is>
      </c>
      <c r="J38" s="48" t="n"/>
      <c r="K38" s="48" t="n"/>
    </row>
    <row r="39">
      <c r="A39" s="48" t="inlineStr">
        <is>
          <t>TR-0038</t>
        </is>
      </c>
      <c r="B39" s="48" t="n"/>
      <c r="C39" s="48" t="inlineStr">
        <is>
          <t>Long</t>
        </is>
      </c>
      <c r="D39" s="48" t="n"/>
      <c r="E39" s="48" t="n"/>
      <c r="F39" s="48" t="n"/>
      <c r="G39" s="53" t="n"/>
      <c r="H39" s="53">
        <f>IF(OR(F39="",G39=""),"",F39*G39)</f>
        <v/>
      </c>
      <c r="I39" s="48" t="inlineStr">
        <is>
          <t>Có</t>
        </is>
      </c>
      <c r="J39" s="48" t="n"/>
      <c r="K39" s="48" t="n"/>
    </row>
    <row r="40">
      <c r="A40" s="48" t="inlineStr">
        <is>
          <t>TR-0039</t>
        </is>
      </c>
      <c r="B40" s="48" t="n"/>
      <c r="C40" s="48" t="inlineStr">
        <is>
          <t>Long</t>
        </is>
      </c>
      <c r="D40" s="48" t="n"/>
      <c r="E40" s="48" t="n"/>
      <c r="F40" s="48" t="n"/>
      <c r="G40" s="53" t="n"/>
      <c r="H40" s="53">
        <f>IF(OR(F40="",G40=""),"",F40*G40)</f>
        <v/>
      </c>
      <c r="I40" s="48" t="inlineStr">
        <is>
          <t>Có</t>
        </is>
      </c>
      <c r="J40" s="48" t="n"/>
      <c r="K40" s="48" t="n"/>
    </row>
    <row r="41">
      <c r="A41" s="48" t="inlineStr">
        <is>
          <t>TR-0040</t>
        </is>
      </c>
      <c r="B41" s="48" t="n"/>
      <c r="C41" s="48" t="inlineStr">
        <is>
          <t>Long</t>
        </is>
      </c>
      <c r="D41" s="48" t="n"/>
      <c r="E41" s="48" t="n"/>
      <c r="F41" s="48" t="n"/>
      <c r="G41" s="53" t="n"/>
      <c r="H41" s="53">
        <f>IF(OR(F41="",G41=""),"",F41*G41)</f>
        <v/>
      </c>
      <c r="I41" s="48" t="inlineStr">
        <is>
          <t>Có</t>
        </is>
      </c>
      <c r="J41" s="48" t="n"/>
      <c r="K41" s="48" t="n"/>
    </row>
    <row r="42">
      <c r="A42" s="48" t="inlineStr">
        <is>
          <t>TR-0041</t>
        </is>
      </c>
      <c r="B42" s="48" t="n"/>
      <c r="C42" s="48" t="inlineStr">
        <is>
          <t>Long</t>
        </is>
      </c>
      <c r="D42" s="48" t="n"/>
      <c r="E42" s="48" t="n"/>
      <c r="F42" s="48" t="n"/>
      <c r="G42" s="53" t="n"/>
      <c r="H42" s="53">
        <f>IF(OR(F42="",G42=""),"",F42*G42)</f>
        <v/>
      </c>
      <c r="I42" s="48" t="inlineStr">
        <is>
          <t>Có</t>
        </is>
      </c>
      <c r="J42" s="48" t="n"/>
      <c r="K42" s="48" t="n"/>
    </row>
    <row r="43">
      <c r="A43" s="48" t="inlineStr">
        <is>
          <t>TR-0042</t>
        </is>
      </c>
      <c r="B43" s="48" t="n"/>
      <c r="C43" s="48" t="inlineStr">
        <is>
          <t>Long</t>
        </is>
      </c>
      <c r="D43" s="48" t="n"/>
      <c r="E43" s="48" t="n"/>
      <c r="F43" s="48" t="n"/>
      <c r="G43" s="53" t="n"/>
      <c r="H43" s="53">
        <f>IF(OR(F43="",G43=""),"",F43*G43)</f>
        <v/>
      </c>
      <c r="I43" s="48" t="inlineStr">
        <is>
          <t>Có</t>
        </is>
      </c>
      <c r="J43" s="48" t="n"/>
      <c r="K43" s="48" t="n"/>
    </row>
    <row r="44">
      <c r="A44" s="48" t="inlineStr">
        <is>
          <t>TR-0043</t>
        </is>
      </c>
      <c r="B44" s="48" t="n"/>
      <c r="C44" s="48" t="inlineStr">
        <is>
          <t>Long</t>
        </is>
      </c>
      <c r="D44" s="48" t="n"/>
      <c r="E44" s="48" t="n"/>
      <c r="F44" s="48" t="n"/>
      <c r="G44" s="53" t="n"/>
      <c r="H44" s="53">
        <f>IF(OR(F44="",G44=""),"",F44*G44)</f>
        <v/>
      </c>
      <c r="I44" s="48" t="inlineStr">
        <is>
          <t>Có</t>
        </is>
      </c>
      <c r="J44" s="48" t="n"/>
      <c r="K44" s="48" t="n"/>
    </row>
    <row r="45">
      <c r="A45" s="48" t="inlineStr">
        <is>
          <t>TR-0044</t>
        </is>
      </c>
      <c r="B45" s="48" t="n"/>
      <c r="C45" s="48" t="inlineStr">
        <is>
          <t>Long</t>
        </is>
      </c>
      <c r="D45" s="48" t="n"/>
      <c r="E45" s="48" t="n"/>
      <c r="F45" s="48" t="n"/>
      <c r="G45" s="53" t="n"/>
      <c r="H45" s="53">
        <f>IF(OR(F45="",G45=""),"",F45*G45)</f>
        <v/>
      </c>
      <c r="I45" s="48" t="inlineStr">
        <is>
          <t>Có</t>
        </is>
      </c>
      <c r="J45" s="48" t="n"/>
      <c r="K45" s="48" t="n"/>
    </row>
    <row r="46">
      <c r="A46" s="48" t="inlineStr">
        <is>
          <t>TR-0045</t>
        </is>
      </c>
      <c r="B46" s="48" t="n"/>
      <c r="C46" s="48" t="inlineStr">
        <is>
          <t>Long</t>
        </is>
      </c>
      <c r="D46" s="48" t="n"/>
      <c r="E46" s="48" t="n"/>
      <c r="F46" s="48" t="n"/>
      <c r="G46" s="53" t="n"/>
      <c r="H46" s="53">
        <f>IF(OR(F46="",G46=""),"",F46*G46)</f>
        <v/>
      </c>
      <c r="I46" s="48" t="inlineStr">
        <is>
          <t>Có</t>
        </is>
      </c>
      <c r="J46" s="48" t="n"/>
      <c r="K46" s="48" t="n"/>
    </row>
    <row r="47">
      <c r="A47" s="48" t="inlineStr">
        <is>
          <t>TR-0046</t>
        </is>
      </c>
      <c r="B47" s="48" t="n"/>
      <c r="C47" s="48" t="inlineStr">
        <is>
          <t>Long</t>
        </is>
      </c>
      <c r="D47" s="48" t="n"/>
      <c r="E47" s="48" t="n"/>
      <c r="F47" s="48" t="n"/>
      <c r="G47" s="53" t="n"/>
      <c r="H47" s="53">
        <f>IF(OR(F47="",G47=""),"",F47*G47)</f>
        <v/>
      </c>
      <c r="I47" s="48" t="inlineStr">
        <is>
          <t>Có</t>
        </is>
      </c>
      <c r="J47" s="48" t="n"/>
      <c r="K47" s="48" t="n"/>
    </row>
    <row r="48">
      <c r="A48" s="48" t="inlineStr">
        <is>
          <t>TR-0047</t>
        </is>
      </c>
      <c r="B48" s="48" t="n"/>
      <c r="C48" s="48" t="inlineStr">
        <is>
          <t>Long</t>
        </is>
      </c>
      <c r="D48" s="48" t="n"/>
      <c r="E48" s="48" t="n"/>
      <c r="F48" s="48" t="n"/>
      <c r="G48" s="53" t="n"/>
      <c r="H48" s="53">
        <f>IF(OR(F48="",G48=""),"",F48*G48)</f>
        <v/>
      </c>
      <c r="I48" s="48" t="inlineStr">
        <is>
          <t>Có</t>
        </is>
      </c>
      <c r="J48" s="48" t="n"/>
      <c r="K48" s="48" t="n"/>
    </row>
    <row r="49">
      <c r="A49" s="48" t="inlineStr">
        <is>
          <t>TR-0048</t>
        </is>
      </c>
      <c r="B49" s="48" t="n"/>
      <c r="C49" s="48" t="inlineStr">
        <is>
          <t>Long</t>
        </is>
      </c>
      <c r="D49" s="48" t="n"/>
      <c r="E49" s="48" t="n"/>
      <c r="F49" s="48" t="n"/>
      <c r="G49" s="53" t="n"/>
      <c r="H49" s="53">
        <f>IF(OR(F49="",G49=""),"",F49*G49)</f>
        <v/>
      </c>
      <c r="I49" s="48" t="inlineStr">
        <is>
          <t>Có</t>
        </is>
      </c>
      <c r="J49" s="48" t="n"/>
      <c r="K49" s="48" t="n"/>
    </row>
    <row r="50">
      <c r="A50" s="48" t="inlineStr">
        <is>
          <t>TR-0049</t>
        </is>
      </c>
      <c r="B50" s="48" t="n"/>
      <c r="C50" s="48" t="inlineStr">
        <is>
          <t>Long</t>
        </is>
      </c>
      <c r="D50" s="48" t="n"/>
      <c r="E50" s="48" t="n"/>
      <c r="F50" s="48" t="n"/>
      <c r="G50" s="53" t="n"/>
      <c r="H50" s="53">
        <f>IF(OR(F50="",G50=""),"",F50*G50)</f>
        <v/>
      </c>
      <c r="I50" s="48" t="inlineStr">
        <is>
          <t>Có</t>
        </is>
      </c>
      <c r="J50" s="48" t="n"/>
      <c r="K50" s="48" t="n"/>
    </row>
    <row r="51">
      <c r="A51" s="48" t="inlineStr">
        <is>
          <t>TR-0050</t>
        </is>
      </c>
      <c r="B51" s="48" t="n"/>
      <c r="C51" s="48" t="inlineStr">
        <is>
          <t>Long</t>
        </is>
      </c>
      <c r="D51" s="48" t="n"/>
      <c r="E51" s="48" t="n"/>
      <c r="F51" s="48" t="n"/>
      <c r="G51" s="53" t="n"/>
      <c r="H51" s="53">
        <f>IF(OR(F51="",G51=""),"",F51*G51)</f>
        <v/>
      </c>
      <c r="I51" s="48" t="inlineStr">
        <is>
          <t>Có</t>
        </is>
      </c>
      <c r="J51" s="48" t="n"/>
      <c r="K51" s="48" t="n"/>
    </row>
    <row r="52">
      <c r="A52" s="48" t="inlineStr">
        <is>
          <t>TR-0051</t>
        </is>
      </c>
      <c r="B52" s="48" t="n"/>
      <c r="C52" s="48" t="inlineStr">
        <is>
          <t>Long</t>
        </is>
      </c>
      <c r="D52" s="48" t="n"/>
      <c r="E52" s="48" t="n"/>
      <c r="F52" s="48" t="n"/>
      <c r="G52" s="53" t="n"/>
      <c r="H52" s="53">
        <f>IF(OR(F52="",G52=""),"",F52*G52)</f>
        <v/>
      </c>
      <c r="I52" s="48" t="inlineStr">
        <is>
          <t>Có</t>
        </is>
      </c>
      <c r="J52" s="48" t="n"/>
      <c r="K52" s="48" t="n"/>
    </row>
    <row r="53">
      <c r="A53" s="48" t="inlineStr">
        <is>
          <t>TR-0052</t>
        </is>
      </c>
      <c r="B53" s="48" t="n"/>
      <c r="C53" s="48" t="inlineStr">
        <is>
          <t>Long</t>
        </is>
      </c>
      <c r="D53" s="48" t="n"/>
      <c r="E53" s="48" t="n"/>
      <c r="F53" s="48" t="n"/>
      <c r="G53" s="53" t="n"/>
      <c r="H53" s="53">
        <f>IF(OR(F53="",G53=""),"",F53*G53)</f>
        <v/>
      </c>
      <c r="I53" s="48" t="inlineStr">
        <is>
          <t>Có</t>
        </is>
      </c>
      <c r="J53" s="48" t="n"/>
      <c r="K53" s="48" t="n"/>
    </row>
    <row r="54">
      <c r="A54" s="48" t="inlineStr">
        <is>
          <t>TR-0053</t>
        </is>
      </c>
      <c r="B54" s="48" t="n"/>
      <c r="C54" s="48" t="inlineStr">
        <is>
          <t>Long</t>
        </is>
      </c>
      <c r="D54" s="48" t="n"/>
      <c r="E54" s="48" t="n"/>
      <c r="F54" s="48" t="n"/>
      <c r="G54" s="53" t="n"/>
      <c r="H54" s="53">
        <f>IF(OR(F54="",G54=""),"",F54*G54)</f>
        <v/>
      </c>
      <c r="I54" s="48" t="inlineStr">
        <is>
          <t>Có</t>
        </is>
      </c>
      <c r="J54" s="48" t="n"/>
      <c r="K54" s="48" t="n"/>
    </row>
    <row r="55">
      <c r="A55" s="48" t="inlineStr">
        <is>
          <t>TR-0054</t>
        </is>
      </c>
      <c r="B55" s="48" t="n"/>
      <c r="C55" s="48" t="inlineStr">
        <is>
          <t>Long</t>
        </is>
      </c>
      <c r="D55" s="48" t="n"/>
      <c r="E55" s="48" t="n"/>
      <c r="F55" s="48" t="n"/>
      <c r="G55" s="53" t="n"/>
      <c r="H55" s="53">
        <f>IF(OR(F55="",G55=""),"",F55*G55)</f>
        <v/>
      </c>
      <c r="I55" s="48" t="inlineStr">
        <is>
          <t>Có</t>
        </is>
      </c>
      <c r="J55" s="48" t="n"/>
      <c r="K55" s="48" t="n"/>
    </row>
    <row r="56">
      <c r="A56" s="48" t="inlineStr">
        <is>
          <t>TR-0055</t>
        </is>
      </c>
      <c r="B56" s="48" t="n"/>
      <c r="C56" s="48" t="inlineStr">
        <is>
          <t>Long</t>
        </is>
      </c>
      <c r="D56" s="48" t="n"/>
      <c r="E56" s="48" t="n"/>
      <c r="F56" s="48" t="n"/>
      <c r="G56" s="53" t="n"/>
      <c r="H56" s="53">
        <f>IF(OR(F56="",G56=""),"",F56*G56)</f>
        <v/>
      </c>
      <c r="I56" s="48" t="inlineStr">
        <is>
          <t>Có</t>
        </is>
      </c>
      <c r="J56" s="48" t="n"/>
      <c r="K56" s="48" t="n"/>
    </row>
    <row r="57">
      <c r="A57" s="48" t="inlineStr">
        <is>
          <t>TR-0056</t>
        </is>
      </c>
      <c r="B57" s="48" t="n"/>
      <c r="C57" s="48" t="inlineStr">
        <is>
          <t>Long</t>
        </is>
      </c>
      <c r="D57" s="48" t="n"/>
      <c r="E57" s="48" t="n"/>
      <c r="F57" s="48" t="n"/>
      <c r="G57" s="53" t="n"/>
      <c r="H57" s="53">
        <f>IF(OR(F57="",G57=""),"",F57*G57)</f>
        <v/>
      </c>
      <c r="I57" s="48" t="inlineStr">
        <is>
          <t>Có</t>
        </is>
      </c>
      <c r="J57" s="48" t="n"/>
      <c r="K57" s="48" t="n"/>
    </row>
    <row r="58">
      <c r="A58" s="48" t="inlineStr">
        <is>
          <t>TR-0057</t>
        </is>
      </c>
      <c r="B58" s="48" t="n"/>
      <c r="C58" s="48" t="inlineStr">
        <is>
          <t>Long</t>
        </is>
      </c>
      <c r="D58" s="48" t="n"/>
      <c r="E58" s="48" t="n"/>
      <c r="F58" s="48" t="n"/>
      <c r="G58" s="53" t="n"/>
      <c r="H58" s="53">
        <f>IF(OR(F58="",G58=""),"",F58*G58)</f>
        <v/>
      </c>
      <c r="I58" s="48" t="inlineStr">
        <is>
          <t>Có</t>
        </is>
      </c>
      <c r="J58" s="48" t="n"/>
      <c r="K58" s="48" t="n"/>
    </row>
    <row r="59">
      <c r="A59" s="48" t="inlineStr">
        <is>
          <t>TR-0058</t>
        </is>
      </c>
      <c r="B59" s="48" t="n"/>
      <c r="C59" s="48" t="inlineStr">
        <is>
          <t>Long</t>
        </is>
      </c>
      <c r="D59" s="48" t="n"/>
      <c r="E59" s="48" t="n"/>
      <c r="F59" s="48" t="n"/>
      <c r="G59" s="53" t="n"/>
      <c r="H59" s="53">
        <f>IF(OR(F59="",G59=""),"",F59*G59)</f>
        <v/>
      </c>
      <c r="I59" s="48" t="inlineStr">
        <is>
          <t>Có</t>
        </is>
      </c>
      <c r="J59" s="48" t="n"/>
      <c r="K59" s="48" t="n"/>
    </row>
    <row r="60">
      <c r="A60" s="48" t="inlineStr">
        <is>
          <t>TR-0059</t>
        </is>
      </c>
      <c r="B60" s="48" t="n"/>
      <c r="C60" s="48" t="inlineStr">
        <is>
          <t>Long</t>
        </is>
      </c>
      <c r="D60" s="48" t="n"/>
      <c r="E60" s="48" t="n"/>
      <c r="F60" s="48" t="n"/>
      <c r="G60" s="53" t="n"/>
      <c r="H60" s="53">
        <f>IF(OR(F60="",G60=""),"",F60*G60)</f>
        <v/>
      </c>
      <c r="I60" s="48" t="inlineStr">
        <is>
          <t>Có</t>
        </is>
      </c>
      <c r="J60" s="48" t="n"/>
      <c r="K60" s="48" t="n"/>
    </row>
    <row r="61">
      <c r="A61" s="48" t="inlineStr">
        <is>
          <t>TR-0060</t>
        </is>
      </c>
      <c r="B61" s="48" t="n"/>
      <c r="C61" s="48" t="inlineStr">
        <is>
          <t>Long</t>
        </is>
      </c>
      <c r="D61" s="48" t="n"/>
      <c r="E61" s="48" t="n"/>
      <c r="F61" s="48" t="n"/>
      <c r="G61" s="53" t="n"/>
      <c r="H61" s="53">
        <f>IF(OR(F61="",G61=""),"",F61*G61)</f>
        <v/>
      </c>
      <c r="I61" s="48" t="inlineStr">
        <is>
          <t>Có</t>
        </is>
      </c>
      <c r="J61" s="48" t="n"/>
      <c r="K61" s="48" t="n"/>
    </row>
    <row r="62">
      <c r="A62" s="48" t="inlineStr">
        <is>
          <t>TR-0061</t>
        </is>
      </c>
      <c r="B62" s="48" t="n"/>
      <c r="C62" s="48" t="inlineStr">
        <is>
          <t>Long</t>
        </is>
      </c>
      <c r="D62" s="48" t="n"/>
      <c r="E62" s="48" t="n"/>
      <c r="F62" s="48" t="n"/>
      <c r="G62" s="53" t="n"/>
      <c r="H62" s="53">
        <f>IF(OR(F62="",G62=""),"",F62*G62)</f>
        <v/>
      </c>
      <c r="I62" s="48" t="inlineStr">
        <is>
          <t>Có</t>
        </is>
      </c>
      <c r="J62" s="48" t="n"/>
      <c r="K62" s="48" t="n"/>
    </row>
    <row r="63">
      <c r="A63" s="48" t="inlineStr">
        <is>
          <t>TR-0062</t>
        </is>
      </c>
      <c r="B63" s="48" t="n"/>
      <c r="C63" s="48" t="inlineStr">
        <is>
          <t>Long</t>
        </is>
      </c>
      <c r="D63" s="48" t="n"/>
      <c r="E63" s="48" t="n"/>
      <c r="F63" s="48" t="n"/>
      <c r="G63" s="53" t="n"/>
      <c r="H63" s="53">
        <f>IF(OR(F63="",G63=""),"",F63*G63)</f>
        <v/>
      </c>
      <c r="I63" s="48" t="inlineStr">
        <is>
          <t>Có</t>
        </is>
      </c>
      <c r="J63" s="48" t="n"/>
      <c r="K63" s="48" t="n"/>
    </row>
    <row r="64">
      <c r="A64" s="48" t="inlineStr">
        <is>
          <t>TR-0063</t>
        </is>
      </c>
      <c r="B64" s="48" t="n"/>
      <c r="C64" s="48" t="inlineStr">
        <is>
          <t>Long</t>
        </is>
      </c>
      <c r="D64" s="48" t="n"/>
      <c r="E64" s="48" t="n"/>
      <c r="F64" s="48" t="n"/>
      <c r="G64" s="53" t="n"/>
      <c r="H64" s="53">
        <f>IF(OR(F64="",G64=""),"",F64*G64)</f>
        <v/>
      </c>
      <c r="I64" s="48" t="inlineStr">
        <is>
          <t>Có</t>
        </is>
      </c>
      <c r="J64" s="48" t="n"/>
      <c r="K64" s="48" t="n"/>
    </row>
    <row r="65">
      <c r="A65" s="48" t="inlineStr">
        <is>
          <t>TR-0064</t>
        </is>
      </c>
      <c r="B65" s="48" t="n"/>
      <c r="C65" s="48" t="inlineStr">
        <is>
          <t>Long</t>
        </is>
      </c>
      <c r="D65" s="48" t="n"/>
      <c r="E65" s="48" t="n"/>
      <c r="F65" s="48" t="n"/>
      <c r="G65" s="53" t="n"/>
      <c r="H65" s="53">
        <f>IF(OR(F65="",G65=""),"",F65*G65)</f>
        <v/>
      </c>
      <c r="I65" s="48" t="inlineStr">
        <is>
          <t>Có</t>
        </is>
      </c>
      <c r="J65" s="48" t="n"/>
      <c r="K65" s="48" t="n"/>
    </row>
    <row r="66">
      <c r="A66" s="48" t="inlineStr">
        <is>
          <t>TR-0065</t>
        </is>
      </c>
      <c r="B66" s="48" t="n"/>
      <c r="C66" s="48" t="inlineStr">
        <is>
          <t>Long</t>
        </is>
      </c>
      <c r="D66" s="48" t="n"/>
      <c r="E66" s="48" t="n"/>
      <c r="F66" s="48" t="n"/>
      <c r="G66" s="53" t="n"/>
      <c r="H66" s="53">
        <f>IF(OR(F66="",G66=""),"",F66*G66)</f>
        <v/>
      </c>
      <c r="I66" s="48" t="inlineStr">
        <is>
          <t>Có</t>
        </is>
      </c>
      <c r="J66" s="48" t="n"/>
      <c r="K66" s="48" t="n"/>
    </row>
    <row r="67">
      <c r="A67" s="48" t="inlineStr">
        <is>
          <t>TR-0066</t>
        </is>
      </c>
      <c r="B67" s="48" t="n"/>
      <c r="C67" s="48" t="inlineStr">
        <is>
          <t>Long</t>
        </is>
      </c>
      <c r="D67" s="48" t="n"/>
      <c r="E67" s="48" t="n"/>
      <c r="F67" s="48" t="n"/>
      <c r="G67" s="53" t="n"/>
      <c r="H67" s="53">
        <f>IF(OR(F67="",G67=""),"",F67*G67)</f>
        <v/>
      </c>
      <c r="I67" s="48" t="inlineStr">
        <is>
          <t>Có</t>
        </is>
      </c>
      <c r="J67" s="48" t="n"/>
      <c r="K67" s="48" t="n"/>
    </row>
    <row r="68">
      <c r="A68" s="48" t="inlineStr">
        <is>
          <t>TR-0067</t>
        </is>
      </c>
      <c r="B68" s="48" t="n"/>
      <c r="C68" s="48" t="inlineStr">
        <is>
          <t>Long</t>
        </is>
      </c>
      <c r="D68" s="48" t="n"/>
      <c r="E68" s="48" t="n"/>
      <c r="F68" s="48" t="n"/>
      <c r="G68" s="53" t="n"/>
      <c r="H68" s="53">
        <f>IF(OR(F68="",G68=""),"",F68*G68)</f>
        <v/>
      </c>
      <c r="I68" s="48" t="inlineStr">
        <is>
          <t>Có</t>
        </is>
      </c>
      <c r="J68" s="48" t="n"/>
      <c r="K68" s="48" t="n"/>
    </row>
    <row r="69">
      <c r="A69" s="48" t="inlineStr">
        <is>
          <t>TR-0068</t>
        </is>
      </c>
      <c r="B69" s="48" t="n"/>
      <c r="C69" s="48" t="inlineStr">
        <is>
          <t>Long</t>
        </is>
      </c>
      <c r="D69" s="48" t="n"/>
      <c r="E69" s="48" t="n"/>
      <c r="F69" s="48" t="n"/>
      <c r="G69" s="53" t="n"/>
      <c r="H69" s="53">
        <f>IF(OR(F69="",G69=""),"",F69*G69)</f>
        <v/>
      </c>
      <c r="I69" s="48" t="inlineStr">
        <is>
          <t>Có</t>
        </is>
      </c>
      <c r="J69" s="48" t="n"/>
      <c r="K69" s="48" t="n"/>
    </row>
    <row r="70">
      <c r="A70" s="48" t="inlineStr">
        <is>
          <t>TR-0069</t>
        </is>
      </c>
      <c r="B70" s="48" t="n"/>
      <c r="C70" s="48" t="inlineStr">
        <is>
          <t>Long</t>
        </is>
      </c>
      <c r="D70" s="48" t="n"/>
      <c r="E70" s="48" t="n"/>
      <c r="F70" s="48" t="n"/>
      <c r="G70" s="53" t="n"/>
      <c r="H70" s="53">
        <f>IF(OR(F70="",G70=""),"",F70*G70)</f>
        <v/>
      </c>
      <c r="I70" s="48" t="inlineStr">
        <is>
          <t>Có</t>
        </is>
      </c>
      <c r="J70" s="48" t="n"/>
      <c r="K70" s="48" t="n"/>
    </row>
    <row r="71">
      <c r="A71" s="48" t="inlineStr">
        <is>
          <t>TR-0070</t>
        </is>
      </c>
      <c r="B71" s="48" t="n"/>
      <c r="C71" s="48" t="inlineStr">
        <is>
          <t>Long</t>
        </is>
      </c>
      <c r="D71" s="48" t="n"/>
      <c r="E71" s="48" t="n"/>
      <c r="F71" s="48" t="n"/>
      <c r="G71" s="53" t="n"/>
      <c r="H71" s="53">
        <f>IF(OR(F71="",G71=""),"",F71*G71)</f>
        <v/>
      </c>
      <c r="I71" s="48" t="inlineStr">
        <is>
          <t>Có</t>
        </is>
      </c>
      <c r="J71" s="48" t="n"/>
      <c r="K71" s="48" t="n"/>
    </row>
    <row r="72">
      <c r="A72" s="48" t="inlineStr">
        <is>
          <t>TR-0071</t>
        </is>
      </c>
      <c r="B72" s="48" t="n"/>
      <c r="C72" s="48" t="inlineStr">
        <is>
          <t>Long</t>
        </is>
      </c>
      <c r="D72" s="48" t="n"/>
      <c r="E72" s="48" t="n"/>
      <c r="F72" s="48" t="n"/>
      <c r="G72" s="53" t="n"/>
      <c r="H72" s="53">
        <f>IF(OR(F72="",G72=""),"",F72*G72)</f>
        <v/>
      </c>
      <c r="I72" s="48" t="inlineStr">
        <is>
          <t>Có</t>
        </is>
      </c>
      <c r="J72" s="48" t="n"/>
      <c r="K72" s="48" t="n"/>
    </row>
    <row r="73">
      <c r="A73" s="48" t="inlineStr">
        <is>
          <t>TR-0072</t>
        </is>
      </c>
      <c r="B73" s="48" t="n"/>
      <c r="C73" s="48" t="inlineStr">
        <is>
          <t>Long</t>
        </is>
      </c>
      <c r="D73" s="48" t="n"/>
      <c r="E73" s="48" t="n"/>
      <c r="F73" s="48" t="n"/>
      <c r="G73" s="53" t="n"/>
      <c r="H73" s="53">
        <f>IF(OR(F73="",G73=""),"",F73*G73)</f>
        <v/>
      </c>
      <c r="I73" s="48" t="inlineStr">
        <is>
          <t>Có</t>
        </is>
      </c>
      <c r="J73" s="48" t="n"/>
      <c r="K73" s="48" t="n"/>
    </row>
    <row r="74">
      <c r="A74" s="48" t="inlineStr">
        <is>
          <t>TR-0073</t>
        </is>
      </c>
      <c r="B74" s="48" t="n"/>
      <c r="C74" s="48" t="inlineStr">
        <is>
          <t>Long</t>
        </is>
      </c>
      <c r="D74" s="48" t="n"/>
      <c r="E74" s="48" t="n"/>
      <c r="F74" s="48" t="n"/>
      <c r="G74" s="53" t="n"/>
      <c r="H74" s="53">
        <f>IF(OR(F74="",G74=""),"",F74*G74)</f>
        <v/>
      </c>
      <c r="I74" s="48" t="inlineStr">
        <is>
          <t>Có</t>
        </is>
      </c>
      <c r="J74" s="48" t="n"/>
      <c r="K74" s="48" t="n"/>
    </row>
    <row r="75">
      <c r="A75" s="48" t="inlineStr">
        <is>
          <t>TR-0074</t>
        </is>
      </c>
      <c r="B75" s="48" t="n"/>
      <c r="C75" s="48" t="inlineStr">
        <is>
          <t>Long</t>
        </is>
      </c>
      <c r="D75" s="48" t="n"/>
      <c r="E75" s="48" t="n"/>
      <c r="F75" s="48" t="n"/>
      <c r="G75" s="53" t="n"/>
      <c r="H75" s="53">
        <f>IF(OR(F75="",G75=""),"",F75*G75)</f>
        <v/>
      </c>
      <c r="I75" s="48" t="inlineStr">
        <is>
          <t>Có</t>
        </is>
      </c>
      <c r="J75" s="48" t="n"/>
      <c r="K75" s="48" t="n"/>
    </row>
    <row r="76">
      <c r="A76" s="48" t="inlineStr">
        <is>
          <t>TR-0075</t>
        </is>
      </c>
      <c r="B76" s="48" t="n"/>
      <c r="C76" s="48" t="inlineStr">
        <is>
          <t>Long</t>
        </is>
      </c>
      <c r="D76" s="48" t="n"/>
      <c r="E76" s="48" t="n"/>
      <c r="F76" s="48" t="n"/>
      <c r="G76" s="53" t="n"/>
      <c r="H76" s="53">
        <f>IF(OR(F76="",G76=""),"",F76*G76)</f>
        <v/>
      </c>
      <c r="I76" s="48" t="inlineStr">
        <is>
          <t>Có</t>
        </is>
      </c>
      <c r="J76" s="48" t="n"/>
      <c r="K76" s="48" t="n"/>
    </row>
    <row r="77">
      <c r="A77" s="48" t="inlineStr">
        <is>
          <t>TR-0076</t>
        </is>
      </c>
      <c r="B77" s="48" t="n"/>
      <c r="C77" s="48" t="inlineStr">
        <is>
          <t>Long</t>
        </is>
      </c>
      <c r="D77" s="48" t="n"/>
      <c r="E77" s="48" t="n"/>
      <c r="F77" s="48" t="n"/>
      <c r="G77" s="53" t="n"/>
      <c r="H77" s="53">
        <f>IF(OR(F77="",G77=""),"",F77*G77)</f>
        <v/>
      </c>
      <c r="I77" s="48" t="inlineStr">
        <is>
          <t>Có</t>
        </is>
      </c>
      <c r="J77" s="48" t="n"/>
      <c r="K77" s="48" t="n"/>
    </row>
    <row r="78">
      <c r="A78" s="48" t="inlineStr">
        <is>
          <t>TR-0077</t>
        </is>
      </c>
      <c r="B78" s="48" t="n"/>
      <c r="C78" s="48" t="inlineStr">
        <is>
          <t>Long</t>
        </is>
      </c>
      <c r="D78" s="48" t="n"/>
      <c r="E78" s="48" t="n"/>
      <c r="F78" s="48" t="n"/>
      <c r="G78" s="53" t="n"/>
      <c r="H78" s="53">
        <f>IF(OR(F78="",G78=""),"",F78*G78)</f>
        <v/>
      </c>
      <c r="I78" s="48" t="inlineStr">
        <is>
          <t>Có</t>
        </is>
      </c>
      <c r="J78" s="48" t="n"/>
      <c r="K78" s="48" t="n"/>
    </row>
    <row r="79">
      <c r="A79" s="48" t="inlineStr">
        <is>
          <t>TR-0078</t>
        </is>
      </c>
      <c r="B79" s="48" t="n"/>
      <c r="C79" s="48" t="inlineStr">
        <is>
          <t>Long</t>
        </is>
      </c>
      <c r="D79" s="48" t="n"/>
      <c r="E79" s="48" t="n"/>
      <c r="F79" s="48" t="n"/>
      <c r="G79" s="53" t="n"/>
      <c r="H79" s="53">
        <f>IF(OR(F79="",G79=""),"",F79*G79)</f>
        <v/>
      </c>
      <c r="I79" s="48" t="inlineStr">
        <is>
          <t>Có</t>
        </is>
      </c>
      <c r="J79" s="48" t="n"/>
      <c r="K79" s="48" t="n"/>
    </row>
  </sheetData>
  <autoFilter ref="A1:K1"/>
  <dataValidations count="2">
    <dataValidation sqref="C2:C500" showDropDown="0" showInputMessage="0" showErrorMessage="0" allowBlank="0" type="list">
      <formula1>'Đối tác'!$A$2:$A$200</formula1>
    </dataValidation>
    <dataValidation sqref="I2:I500" showDropDown="0" showInputMessage="0" showErrorMessage="0" allowBlank="0" type="list">
      <formula1>"Có,Không"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39"/>
  <sheetViews>
    <sheetView showGridLines="0" workbookViewId="0">
      <pane ySplit="1" topLeftCell="A2" activePane="bottomLeft" state="frozen"/>
      <selection pane="bottomLeft" activeCell="A1" sqref="A1"/>
    </sheetView>
  </sheetViews>
  <sheetFormatPr baseColWidth="8" defaultRowHeight="15"/>
  <cols>
    <col width="16" customWidth="1" style="46" min="1" max="1"/>
    <col width="16" customWidth="1" style="46" min="2" max="2"/>
    <col width="24" customWidth="1" style="46" min="3" max="3"/>
    <col width="18" customWidth="1" style="46" min="4" max="4"/>
    <col width="38" customWidth="1" style="46" min="5" max="5"/>
    <col width="16" customWidth="1" style="46" min="6" max="6"/>
    <col width="16" customWidth="1" style="46" min="7" max="7"/>
    <col width="16" customWidth="1" style="46" min="8" max="8"/>
    <col width="34" customWidth="1" style="46" min="9" max="9"/>
    <col width="18" customWidth="1" style="46" min="10" max="10"/>
    <col width="24" customWidth="1" style="46" min="11" max="11"/>
    <col width="18" customWidth="1" style="46" min="12" max="12"/>
    <col width="18" customWidth="1" style="46" min="13" max="13"/>
  </cols>
  <sheetData>
    <row r="1" ht="28" customHeight="1" s="46">
      <c r="A1" s="54" t="inlineStr">
        <is>
          <t>Mã đơn</t>
        </is>
      </c>
      <c r="B1" s="54" t="inlineStr">
        <is>
          <t>Ngày mua</t>
        </is>
      </c>
      <c r="C1" s="54" t="inlineStr">
        <is>
          <t>Tên khách</t>
        </is>
      </c>
      <c r="D1" s="54" t="inlineStr">
        <is>
          <t>Số điện thoại</t>
        </is>
      </c>
      <c r="E1" s="54" t="inlineStr">
        <is>
          <t>Sản phẩm</t>
        </is>
      </c>
      <c r="F1" s="54" t="inlineStr">
        <is>
          <t>Tổng tiền</t>
        </is>
      </c>
      <c r="G1" s="54" t="inlineStr">
        <is>
          <t>Đã thu</t>
        </is>
      </c>
      <c r="H1" s="54" t="inlineStr">
        <is>
          <t>Còn nợ</t>
        </is>
      </c>
      <c r="I1" s="54" t="inlineStr">
        <is>
          <t>Ghi chú</t>
        </is>
      </c>
      <c r="J1" s="54" t="inlineStr">
        <is>
          <t>Trạng thái dữ liệu</t>
        </is>
      </c>
      <c r="K1" s="54" t="inlineStr">
        <is>
          <t>Dòng gốc</t>
        </is>
      </c>
      <c r="L1" s="48" t="n"/>
      <c r="M1" s="48" t="n"/>
    </row>
    <row r="2">
      <c r="A2" s="48" t="inlineStr">
        <is>
          <t>DH-0001</t>
        </is>
      </c>
      <c r="B2" s="48" t="inlineStr"/>
      <c r="C2" s="48" t="inlineStr">
        <is>
          <t>TÂM LÊ</t>
        </is>
      </c>
      <c r="D2" s="48" t="inlineStr">
        <is>
          <t>0935694536</t>
        </is>
      </c>
      <c r="E2" s="48" t="inlineStr">
        <is>
          <t>1FIN 12AH</t>
        </is>
      </c>
      <c r="F2" s="53" t="n">
        <v>1200000</v>
      </c>
      <c r="G2" s="53" t="n">
        <v>1200000</v>
      </c>
      <c r="H2" s="52">
        <f>MAX(F2-G2,0)</f>
        <v/>
      </c>
      <c r="I2" s="48" t="inlineStr"/>
      <c r="J2" s="48" t="inlineStr"/>
      <c r="K2" s="48" t="inlineStr">
        <is>
          <t>Đơn hàng đã bán!A4:K4</t>
        </is>
      </c>
      <c r="L2" s="51" t="inlineStr">
        <is>
          <t>Tổng tiền:</t>
        </is>
      </c>
      <c r="M2" s="59">
        <f>SUM(F:F)</f>
        <v/>
      </c>
    </row>
    <row r="3">
      <c r="A3" s="48" t="inlineStr">
        <is>
          <t>DH-0002</t>
        </is>
      </c>
      <c r="B3" s="48" t="inlineStr"/>
      <c r="C3" s="48" t="inlineStr">
        <is>
          <t>KHOÁ NGUYỄN</t>
        </is>
      </c>
      <c r="D3" s="48" t="inlineStr">
        <is>
          <t>0983926939</t>
        </is>
      </c>
      <c r="E3" s="48" t="inlineStr">
        <is>
          <t>1SAC1FIN7,5AH</t>
        </is>
      </c>
      <c r="F3" s="53" t="n">
        <v>950000</v>
      </c>
      <c r="G3" s="53" t="n">
        <v>950000</v>
      </c>
      <c r="H3" s="52">
        <f>MAX(F3-G3,0)</f>
        <v/>
      </c>
      <c r="I3" s="48" t="inlineStr">
        <is>
          <t>Mạch+đóng</t>
        </is>
      </c>
      <c r="J3" s="48" t="inlineStr"/>
      <c r="K3" s="48" t="inlineStr">
        <is>
          <t>Đơn hàng đã bán!A5:K5</t>
        </is>
      </c>
      <c r="L3" s="51" t="inlineStr">
        <is>
          <t>Tổng đã thu:</t>
        </is>
      </c>
      <c r="M3" s="59">
        <f>SUM(G:G)</f>
        <v/>
      </c>
    </row>
    <row r="4">
      <c r="A4" s="48" t="inlineStr">
        <is>
          <t>DH-0003</t>
        </is>
      </c>
      <c r="B4" s="48" t="inlineStr"/>
      <c r="C4" s="48" t="inlineStr">
        <is>
          <t>HUỲNH KIỀU</t>
        </is>
      </c>
      <c r="D4" s="48" t="inlineStr">
        <is>
          <t>0377732140</t>
        </is>
      </c>
      <c r="E4" s="48" t="inlineStr">
        <is>
          <t>1 ĐÈN NL 300W</t>
        </is>
      </c>
      <c r="F4" s="53" t="n">
        <v>1200000</v>
      </c>
      <c r="G4" s="53" t="n">
        <v>1200000</v>
      </c>
      <c r="H4" s="52">
        <f>MAX(F4-G4,0)</f>
        <v/>
      </c>
      <c r="I4" s="48" t="inlineStr"/>
      <c r="J4" s="48" t="inlineStr"/>
      <c r="K4" s="48" t="inlineStr">
        <is>
          <t>Đơn hàng đã bán!A6:K6</t>
        </is>
      </c>
      <c r="L4" s="51" t="inlineStr">
        <is>
          <t>Nợ còn:</t>
        </is>
      </c>
      <c r="M4" s="60">
        <f>SUM(H:H)</f>
        <v/>
      </c>
    </row>
    <row r="5">
      <c r="A5" s="48" t="inlineStr">
        <is>
          <t>DH-0004</t>
        </is>
      </c>
      <c r="B5" s="48" t="inlineStr"/>
      <c r="C5" s="48" t="inlineStr">
        <is>
          <t>NGUYỄN PHƯỚC THIỆN</t>
        </is>
      </c>
      <c r="D5" s="48" t="inlineStr">
        <is>
          <t>0364909695</t>
        </is>
      </c>
      <c r="E5" s="48" t="inlineStr">
        <is>
          <t>1 SẠC DỰ PHÒNG 4CELL</t>
        </is>
      </c>
      <c r="F5" s="53" t="n">
        <v>550000</v>
      </c>
      <c r="G5" s="53" t="n">
        <v>550000</v>
      </c>
      <c r="H5" s="52">
        <f>MAX(F5-G5,0)</f>
        <v/>
      </c>
      <c r="I5" s="48" t="inlineStr"/>
      <c r="J5" s="48" t="inlineStr"/>
      <c r="K5" s="48" t="inlineStr">
        <is>
          <t>Đơn hàng đã bán!A7:K7</t>
        </is>
      </c>
      <c r="L5" s="48" t="n"/>
      <c r="M5" s="53" t="n"/>
    </row>
    <row r="6">
      <c r="A6" s="48" t="inlineStr">
        <is>
          <t>DH-0005</t>
        </is>
      </c>
      <c r="B6" s="48" t="inlineStr"/>
      <c r="C6" s="48" t="inlineStr">
        <is>
          <t>HÀ LÊ</t>
        </is>
      </c>
      <c r="D6" s="48" t="inlineStr">
        <is>
          <t>0987475125</t>
        </is>
      </c>
      <c r="E6" s="48" t="inlineStr">
        <is>
          <t>1BINH XE MÁY</t>
        </is>
      </c>
      <c r="F6" s="53" t="n">
        <v>600000</v>
      </c>
      <c r="G6" s="53" t="n">
        <v>600000</v>
      </c>
      <c r="H6" s="52">
        <f>MAX(F6-G6,0)</f>
        <v/>
      </c>
      <c r="I6" s="48" t="inlineStr"/>
      <c r="J6" s="48" t="inlineStr"/>
      <c r="K6" s="48" t="inlineStr">
        <is>
          <t>Đơn hàng đã bán!A8:K8</t>
        </is>
      </c>
      <c r="L6" s="48" t="n"/>
      <c r="M6" s="53" t="n"/>
    </row>
    <row r="7">
      <c r="A7" s="48" t="inlineStr">
        <is>
          <t>DH-0006</t>
        </is>
      </c>
      <c r="B7" s="48" t="inlineStr"/>
      <c r="C7" s="48" t="inlineStr">
        <is>
          <t>Bình lâm Tâm</t>
        </is>
      </c>
      <c r="D7" s="48" t="inlineStr">
        <is>
          <t>0972947410</t>
        </is>
      </c>
      <c r="E7" s="48" t="inlineStr">
        <is>
          <t>Bình 30a</t>
        </is>
      </c>
      <c r="F7" s="53" t="inlineStr"/>
      <c r="G7" s="53" t="inlineStr"/>
      <c r="H7" s="53" t="n">
        <v>0</v>
      </c>
      <c r="I7" s="48" t="inlineStr"/>
      <c r="J7" s="48" t="inlineStr">
        <is>
          <t>Quên giá</t>
        </is>
      </c>
      <c r="K7" s="48" t="inlineStr">
        <is>
          <t>Đơn hàng đã bán!A9:K9</t>
        </is>
      </c>
      <c r="L7" s="48" t="n"/>
      <c r="M7" s="53" t="n"/>
    </row>
    <row r="8">
      <c r="A8" s="48" t="inlineStr">
        <is>
          <t>DH-0007</t>
        </is>
      </c>
      <c r="B8" s="48" t="inlineStr"/>
      <c r="C8" s="48" t="inlineStr">
        <is>
          <t>Vĩnh bộ đội</t>
        </is>
      </c>
      <c r="D8" s="48" t="inlineStr"/>
      <c r="E8" s="48" t="inlineStr">
        <is>
          <t>Bình 45A</t>
        </is>
      </c>
      <c r="F8" s="53" t="n">
        <v>2300000</v>
      </c>
      <c r="G8" s="53" t="n">
        <v>1700000</v>
      </c>
      <c r="H8" s="52">
        <f>MAX(F8-G8,0)</f>
        <v/>
      </c>
      <c r="I8" s="48" t="inlineStr"/>
      <c r="J8" s="48" t="inlineStr"/>
      <c r="K8" s="48" t="inlineStr">
        <is>
          <t>Đơn hàng đã bán!A10:K10</t>
        </is>
      </c>
      <c r="L8" s="48" t="n"/>
      <c r="M8" s="53" t="n"/>
    </row>
    <row r="9">
      <c r="A9" s="48" t="inlineStr">
        <is>
          <t>DH-0008</t>
        </is>
      </c>
      <c r="B9" s="48" t="inlineStr"/>
      <c r="C9" s="48" t="inlineStr">
        <is>
          <t>Vương</t>
        </is>
      </c>
      <c r="D9" s="48" t="inlineStr"/>
      <c r="E9" s="48" t="inlineStr">
        <is>
          <t>Pin 15cell</t>
        </is>
      </c>
      <c r="F9" s="53" t="n">
        <v>700000</v>
      </c>
      <c r="G9" s="53" t="n">
        <v>700000</v>
      </c>
      <c r="H9" s="52">
        <f>MAX(F9-G9,0)</f>
        <v/>
      </c>
      <c r="I9" s="48" t="inlineStr"/>
      <c r="J9" s="48" t="inlineStr"/>
      <c r="K9" s="48" t="inlineStr">
        <is>
          <t>Đơn hàng đã bán!A11:K11</t>
        </is>
      </c>
      <c r="L9" s="48" t="n"/>
      <c r="M9" s="53" t="n"/>
    </row>
    <row r="10">
      <c r="A10" s="48" t="inlineStr">
        <is>
          <t>DH-0009</t>
        </is>
      </c>
      <c r="B10" s="48" t="inlineStr"/>
      <c r="C10" s="48" t="inlineStr">
        <is>
          <t>Sang</t>
        </is>
      </c>
      <c r="D10" s="48" t="inlineStr"/>
      <c r="E10" s="48" t="inlineStr">
        <is>
          <t>Pin15cell-sạc-đèn</t>
        </is>
      </c>
      <c r="F10" s="53" t="n">
        <v>1000000</v>
      </c>
      <c r="G10" s="53" t="n">
        <v>1000000</v>
      </c>
      <c r="H10" s="52">
        <f>MAX(F10-G10,0)</f>
        <v/>
      </c>
      <c r="I10" s="48" t="inlineStr"/>
      <c r="J10" s="48" t="inlineStr"/>
      <c r="K10" s="48" t="inlineStr">
        <is>
          <t>Đơn hàng đã bán!A12:K12</t>
        </is>
      </c>
      <c r="L10" s="48" t="n"/>
      <c r="M10" s="53" t="n"/>
    </row>
    <row r="11">
      <c r="A11" s="48" t="inlineStr">
        <is>
          <t>DH-0010</t>
        </is>
      </c>
      <c r="B11" s="48" t="inlineStr"/>
      <c r="C11" s="48" t="inlineStr">
        <is>
          <t>Liên cơ khí</t>
        </is>
      </c>
      <c r="D11" s="48" t="inlineStr"/>
      <c r="E11" s="48" t="inlineStr">
        <is>
          <t>Đèn</t>
        </is>
      </c>
      <c r="F11" s="53" t="n">
        <v>250000</v>
      </c>
      <c r="G11" s="53" t="n">
        <v>250000</v>
      </c>
      <c r="H11" s="52">
        <f>MAX(F11-G11,0)</f>
        <v/>
      </c>
      <c r="I11" s="48" t="inlineStr"/>
      <c r="J11" s="48" t="inlineStr"/>
      <c r="K11" s="48" t="inlineStr">
        <is>
          <t>Đơn hàng đã bán!A13:K13</t>
        </is>
      </c>
      <c r="L11" s="48" t="n"/>
      <c r="M11" s="53" t="n"/>
    </row>
    <row r="12">
      <c r="A12" s="48" t="inlineStr">
        <is>
          <t>DH-0011</t>
        </is>
      </c>
      <c r="B12" s="48" t="inlineStr"/>
      <c r="C12" s="48" t="inlineStr">
        <is>
          <t>Anh Hiệp</t>
        </is>
      </c>
      <c r="D12" s="48" t="inlineStr"/>
      <c r="E12" s="48" t="inlineStr">
        <is>
          <t>Camera -pin5cell-đèn,sạc</t>
        </is>
      </c>
      <c r="F12" s="53" t="n">
        <v>650000</v>
      </c>
      <c r="G12" s="53" t="n">
        <v>650000</v>
      </c>
      <c r="H12" s="52">
        <f>MAX(F12-G12,0)</f>
        <v/>
      </c>
      <c r="I12" s="48" t="inlineStr"/>
      <c r="J12" s="48" t="inlineStr"/>
      <c r="K12" s="48" t="inlineStr">
        <is>
          <t>Đơn hàng đã bán!A14:K14</t>
        </is>
      </c>
      <c r="L12" s="48" t="n"/>
      <c r="M12" s="53" t="n"/>
    </row>
    <row r="13">
      <c r="A13" s="48" t="inlineStr">
        <is>
          <t>DH-0012</t>
        </is>
      </c>
      <c r="B13" s="48" t="inlineStr"/>
      <c r="C13" s="48" t="inlineStr">
        <is>
          <t>Vĩnh bộ đội</t>
        </is>
      </c>
      <c r="D13" s="48" t="inlineStr"/>
      <c r="E13" s="48" t="inlineStr">
        <is>
          <t>Bình 45ah-pin15cell-máy vít -sạc</t>
        </is>
      </c>
      <c r="F13" s="53" t="n">
        <v>3830000</v>
      </c>
      <c r="G13" s="53" t="n">
        <v>1600000</v>
      </c>
      <c r="H13" s="52">
        <f>MAX(F13-G13,0)</f>
        <v/>
      </c>
      <c r="I13" s="48" t="inlineStr"/>
      <c r="J13" s="48" t="inlineStr"/>
      <c r="K13" s="48" t="inlineStr">
        <is>
          <t>Đơn hàng đã bán!A15:K15</t>
        </is>
      </c>
      <c r="L13" s="48" t="n"/>
      <c r="M13" s="53" t="n"/>
    </row>
    <row r="14">
      <c r="A14" s="48" t="inlineStr">
        <is>
          <t>DH-0013</t>
        </is>
      </c>
      <c r="B14" s="48" t="inlineStr">
        <is>
          <t>2026-01-12 00:00:00</t>
        </is>
      </c>
      <c r="C14" s="48" t="inlineStr">
        <is>
          <t>Ut chup,0375064153/12/1/2026</t>
        </is>
      </c>
      <c r="D14" s="48" t="inlineStr">
        <is>
          <t>0375064153</t>
        </is>
      </c>
      <c r="E14" s="48" t="inlineStr">
        <is>
          <t>Bình 45ah</t>
        </is>
      </c>
      <c r="F14" s="53" t="n">
        <v>2250000</v>
      </c>
      <c r="G14" s="53" t="n">
        <v>2250000</v>
      </c>
      <c r="H14" s="52">
        <f>MAX(F14-G14,0)</f>
        <v/>
      </c>
      <c r="I14" s="48" t="inlineStr">
        <is>
          <t>375064152</t>
        </is>
      </c>
      <c r="J14" s="48" t="inlineStr"/>
      <c r="K14" s="48" t="inlineStr">
        <is>
          <t>Đơn hàng đã bán!A16:K16</t>
        </is>
      </c>
      <c r="L14" s="48" t="n"/>
      <c r="M14" s="53" t="n"/>
    </row>
    <row r="15">
      <c r="A15" s="48" t="inlineStr">
        <is>
          <t>DH-0014</t>
        </is>
      </c>
      <c r="B15" s="48" t="inlineStr">
        <is>
          <t>2026-01-17 00:00:00</t>
        </is>
      </c>
      <c r="C15" s="48" t="inlineStr">
        <is>
          <t>Bi trương</t>
        </is>
      </c>
      <c r="D15" s="48" t="inlineStr"/>
      <c r="E15" s="48" t="inlineStr">
        <is>
          <t>Sạc tốt 5a</t>
        </is>
      </c>
      <c r="F15" s="53" t="n">
        <v>150000</v>
      </c>
      <c r="G15" s="53" t="n">
        <v>150000</v>
      </c>
      <c r="H15" s="52">
        <f>MAX(F15-G15,0)</f>
        <v/>
      </c>
      <c r="I15" s="48" t="inlineStr"/>
      <c r="J15" s="48" t="inlineStr"/>
      <c r="K15" s="48" t="inlineStr">
        <is>
          <t>Đơn hàng đã bán!A17:K17</t>
        </is>
      </c>
      <c r="L15" s="48" t="n"/>
      <c r="M15" s="53" t="n"/>
    </row>
    <row r="16">
      <c r="A16" s="48" t="inlineStr">
        <is>
          <t>DH-0015</t>
        </is>
      </c>
      <c r="B16" s="48" t="inlineStr">
        <is>
          <t>2026-01-23 00:00:00</t>
        </is>
      </c>
      <c r="C16" s="48" t="inlineStr">
        <is>
          <t>Phế liệu qs</t>
        </is>
      </c>
      <c r="D16" s="48" t="inlineStr"/>
      <c r="E16" s="48" t="inlineStr">
        <is>
          <t>Pin15cell,máy bu lông</t>
        </is>
      </c>
      <c r="F16" s="53" t="n">
        <v>1500000</v>
      </c>
      <c r="G16" s="53" t="n">
        <v>1500000</v>
      </c>
      <c r="H16" s="52">
        <f>MAX(F16-G16,0)</f>
        <v/>
      </c>
      <c r="I16" s="48" t="inlineStr"/>
      <c r="J16" s="48" t="inlineStr"/>
      <c r="K16" s="48" t="inlineStr">
        <is>
          <t>Đơn hàng đã bán!A18:K18</t>
        </is>
      </c>
      <c r="L16" s="48" t="n"/>
      <c r="M16" s="53" t="n"/>
    </row>
    <row r="17">
      <c r="A17" s="48" t="inlineStr">
        <is>
          <t>DH-0016</t>
        </is>
      </c>
      <c r="B17" s="48" t="inlineStr">
        <is>
          <t>37/1/2026</t>
        </is>
      </c>
      <c r="C17" s="48" t="inlineStr">
        <is>
          <t>Phế liệu qs</t>
        </is>
      </c>
      <c r="D17" s="48" t="inlineStr"/>
      <c r="E17" s="48" t="inlineStr">
        <is>
          <t>Pin 15cell1máy cắt,sạc</t>
        </is>
      </c>
      <c r="F17" s="53" t="n">
        <v>1300000</v>
      </c>
      <c r="G17" s="53" t="n">
        <v>1300000</v>
      </c>
      <c r="H17" s="52">
        <f>MAX(F17-G17,0)</f>
        <v/>
      </c>
      <c r="I17" s="48" t="inlineStr"/>
      <c r="J17" s="48" t="inlineStr"/>
      <c r="K17" s="48" t="inlineStr">
        <is>
          <t>Đơn hàng đã bán!A19:K19</t>
        </is>
      </c>
      <c r="L17" s="48" t="n"/>
      <c r="M17" s="53" t="n"/>
    </row>
    <row r="18">
      <c r="A18" s="48" t="inlineStr">
        <is>
          <t>DH-0017</t>
        </is>
      </c>
      <c r="B18" s="48" t="inlineStr">
        <is>
          <t>28/012026</t>
        </is>
      </c>
      <c r="C18" s="48" t="inlineStr">
        <is>
          <t>Tiên  đoan</t>
        </is>
      </c>
      <c r="D18" s="48" t="inlineStr"/>
      <c r="E18" s="48" t="inlineStr">
        <is>
          <t>Pin10-15cell,sạc</t>
        </is>
      </c>
      <c r="F18" s="53" t="n">
        <v>1350000</v>
      </c>
      <c r="G18" s="53" t="n">
        <v>1350000</v>
      </c>
      <c r="H18" s="52">
        <f>MAX(F18-G18,0)</f>
        <v/>
      </c>
      <c r="I18" s="48" t="inlineStr"/>
      <c r="J18" s="48" t="inlineStr"/>
      <c r="K18" s="48" t="inlineStr">
        <is>
          <t>Đơn hàng đã bán!A20:K20</t>
        </is>
      </c>
      <c r="L18" s="48" t="n"/>
      <c r="M18" s="53" t="n"/>
    </row>
    <row r="19">
      <c r="A19" s="48" t="inlineStr">
        <is>
          <t>DH-0018</t>
        </is>
      </c>
      <c r="B19" s="48" t="inlineStr">
        <is>
          <t>2026-01-26 00:00:00</t>
        </is>
      </c>
      <c r="C19" s="48" t="inlineStr">
        <is>
          <t>Khoá</t>
        </is>
      </c>
      <c r="D19" s="48" t="inlineStr"/>
      <c r="E19" s="48" t="inlineStr">
        <is>
          <t>Sạc dự phòng</t>
        </is>
      </c>
      <c r="F19" s="53" t="n">
        <v>600000</v>
      </c>
      <c r="G19" s="53" t="inlineStr"/>
      <c r="H19" s="52">
        <f>MAX(F19-G19,0)</f>
        <v/>
      </c>
      <c r="I19" s="48" t="inlineStr"/>
      <c r="J19" s="48" t="inlineStr"/>
      <c r="K19" s="48" t="inlineStr">
        <is>
          <t>Đơn hàng đã bán!A21:K21</t>
        </is>
      </c>
      <c r="L19" s="48" t="n"/>
      <c r="M19" s="53" t="n"/>
    </row>
    <row r="20">
      <c r="A20" s="48" t="inlineStr">
        <is>
          <t>DH-0019</t>
        </is>
      </c>
      <c r="B20" s="48" t="inlineStr">
        <is>
          <t>2026-03-03 00:00:00</t>
        </is>
      </c>
      <c r="C20" s="48" t="inlineStr">
        <is>
          <t>Phế liệu qs</t>
        </is>
      </c>
      <c r="D20" s="48" t="inlineStr"/>
      <c r="E20" s="48" t="inlineStr">
        <is>
          <t>Pin15cell,1 máy buloong</t>
        </is>
      </c>
      <c r="F20" s="53" t="n">
        <v>1200000</v>
      </c>
      <c r="G20" s="53" t="n">
        <v>1200000</v>
      </c>
      <c r="H20" s="52">
        <f>MAX(F20-G20,0)</f>
        <v/>
      </c>
      <c r="I20" s="48" t="inlineStr"/>
      <c r="J20" s="48" t="inlineStr"/>
      <c r="K20" s="48" t="inlineStr">
        <is>
          <t>Đơn hàng đã bán!A22:K22</t>
        </is>
      </c>
      <c r="L20" s="48" t="n"/>
      <c r="M20" s="53" t="n"/>
    </row>
    <row r="21">
      <c r="A21" s="48" t="inlineStr">
        <is>
          <t>DH-0020</t>
        </is>
      </c>
      <c r="B21" s="48" t="inlineStr">
        <is>
          <t>2026-03-07 00:00:00</t>
        </is>
      </c>
      <c r="C21" s="48" t="inlineStr">
        <is>
          <t>Mẹ Thêu QM</t>
        </is>
      </c>
      <c r="D21" s="48" t="inlineStr"/>
      <c r="E21" s="48" t="inlineStr">
        <is>
          <t>Đèn NL đĩa bay</t>
        </is>
      </c>
      <c r="F21" s="53" t="n">
        <v>1500000</v>
      </c>
      <c r="G21" s="53" t="n">
        <v>1500000</v>
      </c>
      <c r="H21" s="52">
        <f>MAX(F21-G21,0)</f>
        <v/>
      </c>
      <c r="I21" s="48" t="inlineStr"/>
      <c r="J21" s="48" t="inlineStr"/>
      <c r="K21" s="48" t="inlineStr">
        <is>
          <t>Đơn hàng đã bán!A23:K23</t>
        </is>
      </c>
      <c r="L21" s="48" t="n"/>
      <c r="M21" s="53" t="n"/>
    </row>
    <row r="22">
      <c r="A22" s="48" t="inlineStr">
        <is>
          <t>DH-0021</t>
        </is>
      </c>
      <c r="B22" s="48" t="inlineStr">
        <is>
          <t>2026-03-20 00:00:00</t>
        </is>
      </c>
      <c r="C22" s="48" t="inlineStr">
        <is>
          <t>Khoá</t>
        </is>
      </c>
      <c r="D22" s="48" t="inlineStr"/>
      <c r="E22" s="48" t="inlineStr">
        <is>
          <t>Thay mạch 4s</t>
        </is>
      </c>
      <c r="F22" s="53" t="n">
        <v>80000</v>
      </c>
      <c r="G22" s="53" t="inlineStr"/>
      <c r="H22" s="52">
        <f>MAX(F22-G22,0)</f>
        <v/>
      </c>
      <c r="I22" s="48" t="inlineStr"/>
      <c r="J22" s="48" t="inlineStr"/>
      <c r="K22" s="48" t="inlineStr">
        <is>
          <t>Đơn hàng đã bán!A24:K24</t>
        </is>
      </c>
      <c r="L22" s="48" t="n"/>
      <c r="M22" s="53" t="n"/>
    </row>
    <row r="23">
      <c r="A23" s="48" t="inlineStr">
        <is>
          <t>DH-0022</t>
        </is>
      </c>
      <c r="B23" s="48" t="inlineStr">
        <is>
          <t>2026-03-23 00:00:00</t>
        </is>
      </c>
      <c r="C23" s="48" t="inlineStr">
        <is>
          <t>Khoá</t>
        </is>
      </c>
      <c r="D23" s="48" t="inlineStr"/>
      <c r="E23" s="48" t="inlineStr">
        <is>
          <t>2 pin 15cell+1 sạch nhanh</t>
        </is>
      </c>
      <c r="F23" s="53" t="n">
        <v>1650000</v>
      </c>
      <c r="G23" s="53" t="inlineStr"/>
      <c r="H23" s="52">
        <f>MAX(F23-G23,0)</f>
        <v/>
      </c>
      <c r="I23" s="48" t="inlineStr"/>
      <c r="J23" s="48" t="inlineStr"/>
      <c r="K23" s="48" t="inlineStr">
        <is>
          <t>Đơn hàng đã bán!A25:K25</t>
        </is>
      </c>
      <c r="L23" s="48" t="n"/>
      <c r="M23" s="53" t="n"/>
    </row>
    <row r="24">
      <c r="A24" s="48" t="inlineStr">
        <is>
          <t>DH-0023</t>
        </is>
      </c>
      <c r="B24" s="48" t="inlineStr">
        <is>
          <t>2026-04-02 00:00:00</t>
        </is>
      </c>
      <c r="C24" s="48" t="inlineStr">
        <is>
          <t>Long rèn</t>
        </is>
      </c>
      <c r="D24" s="48" t="inlineStr"/>
      <c r="E24" s="48" t="inlineStr">
        <is>
          <t>Pin áo</t>
        </is>
      </c>
      <c r="F24" s="53" t="n">
        <v>550000</v>
      </c>
      <c r="G24" s="53" t="n">
        <v>550000</v>
      </c>
      <c r="H24" s="52">
        <f>MAX(F24-G24,0)</f>
        <v/>
      </c>
      <c r="I24" s="48" t="inlineStr"/>
      <c r="J24" s="48" t="inlineStr"/>
      <c r="K24" s="48" t="inlineStr">
        <is>
          <t>Đơn hàng đã bán!A26:K26</t>
        </is>
      </c>
      <c r="L24" s="48" t="n"/>
      <c r="M24" s="53" t="n"/>
    </row>
    <row r="25">
      <c r="A25" s="48" t="inlineStr">
        <is>
          <t>DH-0024</t>
        </is>
      </c>
      <c r="B25" s="48" t="inlineStr">
        <is>
          <t>2026-04-04 00:00:00</t>
        </is>
      </c>
      <c r="C25" s="48" t="inlineStr">
        <is>
          <t>Quốc dinh</t>
        </is>
      </c>
      <c r="D25" s="48" t="inlineStr">
        <is>
          <t>0869029139</t>
        </is>
      </c>
      <c r="E25" s="48" t="inlineStr">
        <is>
          <t>Pin áo,sạc</t>
        </is>
      </c>
      <c r="F25" s="53" t="n">
        <v>700000</v>
      </c>
      <c r="G25" s="53" t="n">
        <v>700000</v>
      </c>
      <c r="H25" s="52">
        <f>MAX(F25-G25,0)</f>
        <v/>
      </c>
      <c r="I25" s="48" t="inlineStr"/>
      <c r="J25" s="48" t="inlineStr"/>
      <c r="K25" s="48" t="inlineStr">
        <is>
          <t>Đơn hàng đã bán!A27:K27</t>
        </is>
      </c>
      <c r="L25" s="48" t="n"/>
      <c r="M25" s="53" t="n"/>
    </row>
    <row r="26">
      <c r="A26" s="48" t="inlineStr">
        <is>
          <t>DH-0025</t>
        </is>
      </c>
      <c r="B26" s="48" t="inlineStr">
        <is>
          <t>2026-04-07 00:00:00</t>
        </is>
      </c>
      <c r="C26" s="48" t="inlineStr">
        <is>
          <t>Đội 6 thôn 2</t>
        </is>
      </c>
      <c r="D26" s="48" t="inlineStr"/>
      <c r="E26" s="48" t="inlineStr">
        <is>
          <t>Đèn năng lượng</t>
        </is>
      </c>
      <c r="F26" s="53" t="n">
        <v>1300000</v>
      </c>
      <c r="G26" s="53" t="n">
        <v>1300000</v>
      </c>
      <c r="H26" s="52">
        <f>MAX(F26-G26,0)</f>
        <v/>
      </c>
      <c r="I26" s="48" t="inlineStr"/>
      <c r="J26" s="48" t="inlineStr"/>
      <c r="K26" s="48" t="inlineStr">
        <is>
          <t>Đơn hàng đã bán!A28:K28</t>
        </is>
      </c>
      <c r="L26" s="48" t="n"/>
      <c r="M26" s="53" t="n"/>
    </row>
    <row r="27">
      <c r="A27" s="48" t="inlineStr">
        <is>
          <t>DH-0026</t>
        </is>
      </c>
      <c r="B27" s="48" t="inlineStr">
        <is>
          <t>2026-04-10 00:00:00</t>
        </is>
      </c>
      <c r="C27" s="48" t="inlineStr">
        <is>
          <t>Thủy hoa t4</t>
        </is>
      </c>
      <c r="D27" s="48" t="inlineStr"/>
      <c r="E27" s="48" t="inlineStr">
        <is>
          <t>Pin áo 6cell217</t>
        </is>
      </c>
      <c r="F27" s="53" t="n">
        <v>600000</v>
      </c>
      <c r="G27" s="53" t="n">
        <v>600000</v>
      </c>
      <c r="H27" s="52">
        <f>MAX(F27-G27,0)</f>
        <v/>
      </c>
      <c r="I27" s="48" t="inlineStr"/>
      <c r="J27" s="48" t="inlineStr"/>
      <c r="K27" s="48" t="inlineStr">
        <is>
          <t>Đơn hàng đã bán!A29:K29</t>
        </is>
      </c>
      <c r="L27" s="48" t="n"/>
      <c r="M27" s="53" t="n"/>
    </row>
    <row r="28">
      <c r="A28" s="48" t="inlineStr">
        <is>
          <t>DH-0027</t>
        </is>
      </c>
      <c r="B28" s="48" t="inlineStr">
        <is>
          <t>2026-04-09 00:00:00</t>
        </is>
      </c>
      <c r="C28" s="48" t="inlineStr">
        <is>
          <t>Vợ thày đ15</t>
        </is>
      </c>
      <c r="D28" s="48" t="inlineStr">
        <is>
          <t>0397504447</t>
        </is>
      </c>
      <c r="E28" s="48" t="inlineStr">
        <is>
          <t>Đèn NL,mã</t>
        </is>
      </c>
      <c r="F28" s="53" t="n">
        <v>1250000</v>
      </c>
      <c r="G28" s="53" t="n">
        <v>1250000</v>
      </c>
      <c r="H28" s="52">
        <f>MAX(F28-G28,0)</f>
        <v/>
      </c>
      <c r="I28" s="48" t="inlineStr"/>
      <c r="J28" s="48" t="inlineStr"/>
      <c r="K28" s="48" t="inlineStr">
        <is>
          <t>Đơn hàng đã bán!A30:K30</t>
        </is>
      </c>
      <c r="L28" s="48" t="n"/>
      <c r="M28" s="53" t="n"/>
    </row>
    <row r="29">
      <c r="A29" s="48" t="inlineStr">
        <is>
          <t>DH-0028</t>
        </is>
      </c>
      <c r="B29" s="48" t="inlineStr">
        <is>
          <t>2026-04-18 00:00:00</t>
        </is>
      </c>
      <c r="C29" s="48" t="inlineStr">
        <is>
          <t>Khoá</t>
        </is>
      </c>
      <c r="D29" s="48" t="inlineStr"/>
      <c r="E29" s="48" t="inlineStr">
        <is>
          <t>Sạc 16,8v</t>
        </is>
      </c>
      <c r="F29" s="53" t="n">
        <v>70000</v>
      </c>
      <c r="G29" s="53" t="inlineStr"/>
      <c r="H29" s="52">
        <f>MAX(F29-G29,0)</f>
        <v/>
      </c>
      <c r="I29" s="48" t="inlineStr"/>
      <c r="J29" s="48" t="inlineStr"/>
      <c r="K29" s="48" t="inlineStr">
        <is>
          <t>Đơn hàng đã bán!A31:K31</t>
        </is>
      </c>
      <c r="L29" s="48" t="n"/>
      <c r="M29" s="53" t="n"/>
    </row>
    <row r="30">
      <c r="A30" s="48" t="inlineStr">
        <is>
          <t>DH-0029</t>
        </is>
      </c>
      <c r="B30" s="48" t="inlineStr">
        <is>
          <t>2026-04-18 00:00:00</t>
        </is>
      </c>
      <c r="C30" s="48" t="inlineStr">
        <is>
          <t>Quốc đ15</t>
        </is>
      </c>
      <c r="D30" s="48" t="inlineStr"/>
      <c r="E30" s="48" t="inlineStr">
        <is>
          <t>Pin áo điều hòa</t>
        </is>
      </c>
      <c r="F30" s="53" t="n">
        <v>470000</v>
      </c>
      <c r="G30" s="53" t="n">
        <v>470000</v>
      </c>
      <c r="H30" s="52">
        <f>MAX(F30-G30,0)</f>
        <v/>
      </c>
      <c r="I30" s="48" t="inlineStr"/>
      <c r="J30" s="48" t="inlineStr"/>
      <c r="K30" s="48" t="inlineStr">
        <is>
          <t>Đơn hàng đã bán!A32:K32</t>
        </is>
      </c>
      <c r="L30" s="48" t="n"/>
      <c r="M30" s="53" t="n"/>
    </row>
    <row r="31">
      <c r="A31" s="48" t="inlineStr">
        <is>
          <t>DH-0030</t>
        </is>
      </c>
      <c r="B31" s="48" t="inlineStr">
        <is>
          <t>2026-04-20 00:00:00</t>
        </is>
      </c>
      <c r="C31" s="48" t="inlineStr">
        <is>
          <t>Vinh bé sâm</t>
        </is>
      </c>
      <c r="D31" s="48" t="inlineStr"/>
      <c r="E31" s="48" t="inlineStr">
        <is>
          <t>Pin áo điều hòa</t>
        </is>
      </c>
      <c r="F31" s="53" t="n">
        <v>600000</v>
      </c>
      <c r="G31" s="53" t="n">
        <v>600000</v>
      </c>
      <c r="H31" s="52">
        <f>MAX(F31-G31,0)</f>
        <v/>
      </c>
      <c r="I31" s="48" t="inlineStr"/>
      <c r="J31" s="48" t="inlineStr"/>
      <c r="K31" s="48" t="inlineStr">
        <is>
          <t>Đơn hàng đã bán!A33:K33</t>
        </is>
      </c>
      <c r="L31" s="48" t="n"/>
      <c r="M31" s="53" t="n"/>
    </row>
    <row r="32">
      <c r="A32" s="48" t="inlineStr">
        <is>
          <t>DH-0031</t>
        </is>
      </c>
      <c r="B32" s="48" t="inlineStr">
        <is>
          <t>2026-04-22 00:00:00</t>
        </is>
      </c>
      <c r="C32" s="48" t="inlineStr">
        <is>
          <t>Kha đ9</t>
        </is>
      </c>
      <c r="D32" s="48" t="inlineStr"/>
      <c r="E32" s="48" t="inlineStr">
        <is>
          <t>Pin áo điều hòa</t>
        </is>
      </c>
      <c r="F32" s="53" t="n">
        <v>480000</v>
      </c>
      <c r="G32" s="53" t="n">
        <v>480000</v>
      </c>
      <c r="H32" s="52">
        <f>MAX(F32-G32,0)</f>
        <v/>
      </c>
      <c r="I32" s="48" t="inlineStr"/>
      <c r="J32" s="48" t="inlineStr"/>
      <c r="K32" s="48" t="inlineStr">
        <is>
          <t>Đơn hàng đã bán!A34:K34</t>
        </is>
      </c>
      <c r="L32" s="48" t="n"/>
      <c r="M32" s="53" t="n"/>
    </row>
    <row r="33">
      <c r="A33" s="48" t="inlineStr">
        <is>
          <t>DH-0032</t>
        </is>
      </c>
      <c r="B33" s="48" t="inlineStr">
        <is>
          <t>2026-04-24 00:00:00</t>
        </is>
      </c>
      <c r="C33" s="48" t="inlineStr">
        <is>
          <t>Ngọc t1</t>
        </is>
      </c>
      <c r="D33" s="48" t="inlineStr"/>
      <c r="E33" s="48" t="inlineStr">
        <is>
          <t>Pin áo điều hoà</t>
        </is>
      </c>
      <c r="F33" s="53" t="n">
        <v>600000</v>
      </c>
      <c r="G33" s="53" t="inlineStr"/>
      <c r="H33" s="52">
        <f>MAX(F33-G33,0)</f>
        <v/>
      </c>
      <c r="I33" s="48" t="inlineStr"/>
      <c r="J33" s="48" t="inlineStr"/>
      <c r="K33" s="48" t="inlineStr">
        <is>
          <t>Đơn hàng đã bán!A35:K35</t>
        </is>
      </c>
      <c r="L33" s="48" t="n"/>
      <c r="M33" s="53" t="n"/>
    </row>
    <row r="34">
      <c r="A34" s="48" t="inlineStr">
        <is>
          <t>DH-0033</t>
        </is>
      </c>
      <c r="B34" s="48" t="inlineStr">
        <is>
          <t>2026-05-04 00:00:00</t>
        </is>
      </c>
      <c r="C34" s="48" t="inlineStr">
        <is>
          <t>Lê Tâm</t>
        </is>
      </c>
      <c r="D34" s="48" t="inlineStr"/>
      <c r="E34" s="48" t="inlineStr">
        <is>
          <t>Pin 20cell</t>
        </is>
      </c>
      <c r="F34" s="53" t="n">
        <v>1150000</v>
      </c>
      <c r="G34" s="53" t="n">
        <v>1150000</v>
      </c>
      <c r="H34" s="52">
        <f>MAX(F34-G34,0)</f>
        <v/>
      </c>
      <c r="I34" s="48" t="inlineStr"/>
      <c r="J34" s="48" t="inlineStr"/>
      <c r="K34" s="48" t="inlineStr">
        <is>
          <t>Đơn hàng đã bán!A36:K36</t>
        </is>
      </c>
      <c r="L34" s="48" t="n"/>
      <c r="M34" s="53" t="n"/>
    </row>
    <row r="35">
      <c r="A35" s="48" t="inlineStr">
        <is>
          <t>DH-0034</t>
        </is>
      </c>
      <c r="B35" s="48" t="inlineStr">
        <is>
          <t>2026-05-05 00:00:00</t>
        </is>
      </c>
      <c r="C35" s="48" t="inlineStr">
        <is>
          <t>Nguyễn phước Thiện</t>
        </is>
      </c>
      <c r="D35" s="48" t="inlineStr"/>
      <c r="E35" s="48" t="inlineStr">
        <is>
          <t>Bình 12v30ah+quạt 12v</t>
        </is>
      </c>
      <c r="F35" s="53" t="n">
        <v>2060000</v>
      </c>
      <c r="G35" s="53" t="n">
        <v>2060000</v>
      </c>
      <c r="H35" s="52">
        <f>MAX(F35-G35,0)</f>
        <v/>
      </c>
      <c r="I35" s="48" t="inlineStr"/>
      <c r="J35" s="48" t="inlineStr"/>
      <c r="K35" s="48" t="inlineStr">
        <is>
          <t>Đơn hàng đã bán!A37:K37</t>
        </is>
      </c>
      <c r="L35" s="48" t="n"/>
      <c r="M35" s="53" t="n"/>
    </row>
    <row r="36">
      <c r="A36" s="48" t="inlineStr">
        <is>
          <t>DH-0035</t>
        </is>
      </c>
      <c r="B36" s="48" t="inlineStr"/>
      <c r="C36" s="48" t="inlineStr">
        <is>
          <t>Tuấn công an</t>
        </is>
      </c>
      <c r="D36" s="48" t="inlineStr"/>
      <c r="E36" s="48" t="inlineStr">
        <is>
          <t>1pin 15cell1 xạc</t>
        </is>
      </c>
      <c r="F36" s="53" t="inlineStr"/>
      <c r="G36" s="53" t="inlineStr"/>
      <c r="H36" s="53" t="n">
        <v>0</v>
      </c>
      <c r="I36" s="48" t="inlineStr"/>
      <c r="J36" s="48" t="inlineStr">
        <is>
          <t>Quên giá</t>
        </is>
      </c>
      <c r="K36" s="48" t="inlineStr">
        <is>
          <t>Đơn hàng đã bán!A38:K38</t>
        </is>
      </c>
      <c r="L36" s="48" t="n"/>
      <c r="M36" s="53" t="n"/>
    </row>
    <row r="37">
      <c r="A37" s="48" t="inlineStr">
        <is>
          <t>DH-0036</t>
        </is>
      </c>
      <c r="B37" s="48" t="inlineStr"/>
      <c r="C37" s="48" t="inlineStr">
        <is>
          <t>Chính xe</t>
        </is>
      </c>
      <c r="D37" s="48" t="inlineStr"/>
      <c r="E37" s="48" t="inlineStr">
        <is>
          <t>1 pin 15cell</t>
        </is>
      </c>
      <c r="F37" s="53" t="inlineStr"/>
      <c r="G37" s="53" t="inlineStr"/>
      <c r="H37" s="53" t="n">
        <v>0</v>
      </c>
      <c r="I37" s="48" t="inlineStr"/>
      <c r="J37" s="48" t="inlineStr">
        <is>
          <t>Quên giá</t>
        </is>
      </c>
      <c r="K37" s="48" t="inlineStr">
        <is>
          <t>Đơn hàng đã bán!A39:K39</t>
        </is>
      </c>
      <c r="L37" s="48" t="n"/>
      <c r="M37" s="53" t="n"/>
    </row>
    <row r="38">
      <c r="A38" s="48" t="inlineStr">
        <is>
          <t>DH-0037</t>
        </is>
      </c>
      <c r="B38" s="48" t="inlineStr"/>
      <c r="C38" s="48" t="inlineStr">
        <is>
          <t>Ánh đội 15</t>
        </is>
      </c>
      <c r="D38" s="48" t="inlineStr"/>
      <c r="E38" s="48" t="inlineStr">
        <is>
          <t>1 pin 16v</t>
        </is>
      </c>
      <c r="F38" s="53" t="inlineStr"/>
      <c r="G38" s="53" t="inlineStr"/>
      <c r="H38" s="53" t="n">
        <v>0</v>
      </c>
      <c r="I38" s="48" t="inlineStr"/>
      <c r="J38" s="48" t="inlineStr">
        <is>
          <t>Quên giá</t>
        </is>
      </c>
      <c r="K38" s="48" t="inlineStr">
        <is>
          <t>Đơn hàng đã bán!A40:K40</t>
        </is>
      </c>
      <c r="L38" s="48" t="n"/>
      <c r="M38" s="53" t="n"/>
    </row>
    <row r="39">
      <c r="A39" s="48" t="inlineStr">
        <is>
          <t>DH-0038</t>
        </is>
      </c>
      <c r="B39" s="48" t="inlineStr">
        <is>
          <t>2026-05-11 00:00:00</t>
        </is>
      </c>
      <c r="C39" s="48" t="inlineStr">
        <is>
          <t>Lê một</t>
        </is>
      </c>
      <c r="D39" s="48" t="inlineStr"/>
      <c r="E39" s="48" t="inlineStr">
        <is>
          <t>1 pin áo</t>
        </is>
      </c>
      <c r="F39" s="53" t="n">
        <v>480000</v>
      </c>
      <c r="G39" s="53" t="n">
        <v>480000</v>
      </c>
      <c r="H39" s="52">
        <f>MAX(F39-G39,0)</f>
        <v/>
      </c>
      <c r="I39" s="48" t="inlineStr"/>
      <c r="J39" s="48" t="inlineStr"/>
      <c r="K39" s="48" t="inlineStr">
        <is>
          <t>Đơn hàng đã bán!A41:K41</t>
        </is>
      </c>
      <c r="L39" s="48" t="n"/>
      <c r="M39" s="53" t="n"/>
    </row>
    <row r="40">
      <c r="A40" s="48" t="inlineStr">
        <is>
          <t>DH-0039</t>
        </is>
      </c>
      <c r="B40" s="48" t="inlineStr">
        <is>
          <t>2026-05-15 00:00:00</t>
        </is>
      </c>
      <c r="C40" s="48" t="inlineStr">
        <is>
          <t>Nghiệp ly</t>
        </is>
      </c>
      <c r="D40" s="48" t="inlineStr"/>
      <c r="E40" s="48" t="inlineStr">
        <is>
          <t>1 pin 10cell</t>
        </is>
      </c>
      <c r="F40" s="53" t="n">
        <v>500000</v>
      </c>
      <c r="G40" s="53" t="n">
        <v>500000</v>
      </c>
      <c r="H40" s="52">
        <f>MAX(F40-G40,0)</f>
        <v/>
      </c>
      <c r="I40" s="48" t="inlineStr"/>
      <c r="J40" s="48" t="inlineStr"/>
      <c r="K40" s="48" t="inlineStr">
        <is>
          <t>Đơn hàng đã bán!A42:K42</t>
        </is>
      </c>
      <c r="L40" s="48" t="n"/>
      <c r="M40" s="53" t="n"/>
    </row>
    <row r="41">
      <c r="A41" s="48" t="inlineStr">
        <is>
          <t>DH-0040</t>
        </is>
      </c>
      <c r="B41" s="48" t="inlineStr">
        <is>
          <t>2026-05-16 00:00:00</t>
        </is>
      </c>
      <c r="C41" s="48" t="inlineStr">
        <is>
          <t>5Hiệp</t>
        </is>
      </c>
      <c r="D41" s="48" t="inlineStr"/>
      <c r="E41" s="48" t="inlineStr">
        <is>
          <t>Máy cắt</t>
        </is>
      </c>
      <c r="F41" s="53" t="n">
        <v>385000</v>
      </c>
      <c r="G41" s="53" t="inlineStr"/>
      <c r="H41" s="52">
        <f>MAX(F41-G41,0)</f>
        <v/>
      </c>
      <c r="I41" s="48" t="inlineStr"/>
      <c r="J41" s="48" t="inlineStr"/>
      <c r="K41" s="48" t="inlineStr">
        <is>
          <t>Đơn hàng đã bán!A43:K43</t>
        </is>
      </c>
      <c r="L41" s="48" t="n"/>
      <c r="M41" s="53" t="n"/>
    </row>
    <row r="42">
      <c r="A42" s="48" t="inlineStr">
        <is>
          <t>DH-0041</t>
        </is>
      </c>
      <c r="B42" s="48" t="inlineStr">
        <is>
          <t>2026-05-19 00:00:00</t>
        </is>
      </c>
      <c r="C42" s="48" t="inlineStr">
        <is>
          <t>Toàn đào</t>
        </is>
      </c>
      <c r="D42" s="48" t="inlineStr"/>
      <c r="E42" s="48" t="inlineStr">
        <is>
          <t>Máy bulong+pin10cell+sạc</t>
        </is>
      </c>
      <c r="F42" s="53" t="n">
        <v>820000</v>
      </c>
      <c r="G42" s="53" t="inlineStr"/>
      <c r="H42" s="52">
        <f>MAX(F42-G42,0)</f>
        <v/>
      </c>
      <c r="I42" s="48" t="inlineStr"/>
      <c r="J42" s="48" t="inlineStr"/>
      <c r="K42" s="48" t="inlineStr">
        <is>
          <t>Đơn hàng đã bán!A44:K44</t>
        </is>
      </c>
      <c r="L42" s="48" t="n"/>
      <c r="M42" s="53" t="n"/>
    </row>
    <row r="43">
      <c r="A43" s="48" t="inlineStr">
        <is>
          <t>DH-0042</t>
        </is>
      </c>
      <c r="B43" s="48" t="n"/>
      <c r="C43" s="48" t="n"/>
      <c r="D43" s="48" t="n"/>
      <c r="E43" s="48" t="n"/>
      <c r="F43" s="53" t="n"/>
      <c r="G43" s="53" t="n"/>
      <c r="H43" s="52">
        <f>MAX(F43-G43,0)</f>
        <v/>
      </c>
      <c r="I43" s="48" t="n"/>
      <c r="J43" s="48" t="n"/>
      <c r="K43" s="48" t="n"/>
      <c r="L43" s="48" t="n"/>
      <c r="M43" s="53" t="n"/>
    </row>
    <row r="44">
      <c r="A44" s="48" t="inlineStr">
        <is>
          <t>DH-0043</t>
        </is>
      </c>
      <c r="B44" s="48" t="n"/>
      <c r="C44" s="48" t="n"/>
      <c r="D44" s="48" t="n"/>
      <c r="E44" s="48" t="n"/>
      <c r="F44" s="53" t="n"/>
      <c r="G44" s="53" t="n"/>
      <c r="H44" s="52">
        <f>MAX(F44-G44,0)</f>
        <v/>
      </c>
      <c r="I44" s="48" t="n"/>
      <c r="J44" s="48" t="n"/>
      <c r="K44" s="48" t="n"/>
      <c r="L44" s="48" t="n"/>
      <c r="M44" s="53" t="n"/>
    </row>
    <row r="45">
      <c r="A45" s="48" t="inlineStr">
        <is>
          <t>DH-0044</t>
        </is>
      </c>
      <c r="B45" s="48" t="n"/>
      <c r="C45" s="48" t="n"/>
      <c r="D45" s="48" t="n"/>
      <c r="E45" s="48" t="n"/>
      <c r="F45" s="53" t="n"/>
      <c r="G45" s="53" t="n"/>
      <c r="H45" s="52">
        <f>MAX(F45-G45,0)</f>
        <v/>
      </c>
      <c r="I45" s="48" t="n"/>
      <c r="J45" s="48" t="n"/>
      <c r="K45" s="48" t="n"/>
      <c r="L45" s="48" t="n"/>
      <c r="M45" s="53" t="n"/>
    </row>
    <row r="46">
      <c r="A46" s="48" t="inlineStr">
        <is>
          <t>DH-0045</t>
        </is>
      </c>
      <c r="B46" s="48" t="n"/>
      <c r="C46" s="48" t="n"/>
      <c r="D46" s="48" t="n"/>
      <c r="E46" s="48" t="n"/>
      <c r="F46" s="53" t="n"/>
      <c r="G46" s="53" t="n"/>
      <c r="H46" s="52">
        <f>MAX(F46-G46,0)</f>
        <v/>
      </c>
      <c r="I46" s="48" t="n"/>
      <c r="J46" s="48" t="n"/>
      <c r="K46" s="48" t="n"/>
      <c r="L46" s="48" t="n"/>
      <c r="M46" s="53" t="n"/>
    </row>
    <row r="47">
      <c r="A47" s="48" t="inlineStr">
        <is>
          <t>DH-0046</t>
        </is>
      </c>
      <c r="B47" s="48" t="n"/>
      <c r="C47" s="48" t="n"/>
      <c r="D47" s="48" t="n"/>
      <c r="E47" s="48" t="n"/>
      <c r="F47" s="53" t="n"/>
      <c r="G47" s="53" t="n"/>
      <c r="H47" s="52">
        <f>MAX(F47-G47,0)</f>
        <v/>
      </c>
      <c r="I47" s="48" t="n"/>
      <c r="J47" s="48" t="n"/>
      <c r="K47" s="48" t="n"/>
      <c r="L47" s="48" t="n"/>
      <c r="M47" s="53" t="n"/>
    </row>
    <row r="48">
      <c r="A48" s="48" t="inlineStr">
        <is>
          <t>DH-0047</t>
        </is>
      </c>
      <c r="B48" s="48" t="n"/>
      <c r="C48" s="48" t="n"/>
      <c r="D48" s="48" t="n"/>
      <c r="E48" s="48" t="n"/>
      <c r="F48" s="53" t="n"/>
      <c r="G48" s="53" t="n"/>
      <c r="H48" s="52">
        <f>MAX(F48-G48,0)</f>
        <v/>
      </c>
      <c r="I48" s="48" t="n"/>
      <c r="J48" s="48" t="n"/>
      <c r="K48" s="48" t="n"/>
      <c r="L48" s="48" t="n"/>
      <c r="M48" s="53" t="n"/>
    </row>
    <row r="49">
      <c r="A49" s="48" t="inlineStr">
        <is>
          <t>DH-0048</t>
        </is>
      </c>
      <c r="B49" s="48" t="n"/>
      <c r="C49" s="48" t="n"/>
      <c r="D49" s="48" t="n"/>
      <c r="E49" s="48" t="n"/>
      <c r="F49" s="53" t="n"/>
      <c r="G49" s="53" t="n"/>
      <c r="H49" s="52">
        <f>MAX(F49-G49,0)</f>
        <v/>
      </c>
      <c r="I49" s="48" t="n"/>
      <c r="J49" s="48" t="n"/>
      <c r="K49" s="48" t="n"/>
      <c r="L49" s="48" t="n"/>
      <c r="M49" s="53" t="n"/>
    </row>
    <row r="50">
      <c r="A50" s="48" t="inlineStr">
        <is>
          <t>DH-0049</t>
        </is>
      </c>
      <c r="B50" s="48" t="n"/>
      <c r="C50" s="48" t="n"/>
      <c r="D50" s="48" t="n"/>
      <c r="E50" s="48" t="n"/>
      <c r="F50" s="53" t="n"/>
      <c r="G50" s="53" t="n"/>
      <c r="H50" s="52">
        <f>MAX(F50-G50,0)</f>
        <v/>
      </c>
      <c r="I50" s="48" t="n"/>
      <c r="J50" s="48" t="n"/>
      <c r="K50" s="48" t="n"/>
      <c r="L50" s="48" t="n"/>
      <c r="M50" s="53" t="n"/>
    </row>
    <row r="51">
      <c r="A51" s="48" t="inlineStr">
        <is>
          <t>DH-0050</t>
        </is>
      </c>
      <c r="B51" s="48" t="n"/>
      <c r="C51" s="48" t="n"/>
      <c r="D51" s="48" t="n"/>
      <c r="E51" s="48" t="n"/>
      <c r="F51" s="53" t="n"/>
      <c r="G51" s="53" t="n"/>
      <c r="H51" s="52">
        <f>MAX(F51-G51,0)</f>
        <v/>
      </c>
      <c r="I51" s="48" t="n"/>
      <c r="J51" s="48" t="n"/>
      <c r="K51" s="48" t="n"/>
      <c r="L51" s="48" t="n"/>
      <c r="M51" s="53" t="n"/>
    </row>
    <row r="52">
      <c r="A52" s="48" t="inlineStr">
        <is>
          <t>DH-0051</t>
        </is>
      </c>
      <c r="B52" s="48" t="n"/>
      <c r="C52" s="48" t="n"/>
      <c r="D52" s="48" t="n"/>
      <c r="E52" s="48" t="n"/>
      <c r="F52" s="53" t="n"/>
      <c r="G52" s="53" t="n"/>
      <c r="H52" s="52">
        <f>MAX(F52-G52,0)</f>
        <v/>
      </c>
      <c r="I52" s="48" t="n"/>
      <c r="J52" s="48" t="n"/>
      <c r="K52" s="48" t="n"/>
      <c r="L52" s="48" t="n"/>
      <c r="M52" s="53" t="n"/>
    </row>
    <row r="53">
      <c r="A53" s="48" t="inlineStr">
        <is>
          <t>DH-0052</t>
        </is>
      </c>
      <c r="B53" s="48" t="n"/>
      <c r="C53" s="48" t="n"/>
      <c r="D53" s="48" t="n"/>
      <c r="E53" s="48" t="n"/>
      <c r="F53" s="53" t="n"/>
      <c r="G53" s="53" t="n"/>
      <c r="H53" s="52">
        <f>MAX(F53-G53,0)</f>
        <v/>
      </c>
      <c r="I53" s="48" t="n"/>
      <c r="J53" s="48" t="n"/>
      <c r="K53" s="48" t="n"/>
      <c r="L53" s="48" t="n"/>
      <c r="M53" s="53" t="n"/>
    </row>
    <row r="54">
      <c r="A54" s="48" t="inlineStr">
        <is>
          <t>DH-0053</t>
        </is>
      </c>
      <c r="B54" s="48" t="n"/>
      <c r="C54" s="48" t="n"/>
      <c r="D54" s="48" t="n"/>
      <c r="E54" s="48" t="n"/>
      <c r="F54" s="53" t="n"/>
      <c r="G54" s="53" t="n"/>
      <c r="H54" s="52">
        <f>MAX(F54-G54,0)</f>
        <v/>
      </c>
      <c r="I54" s="48" t="n"/>
      <c r="J54" s="48" t="n"/>
      <c r="K54" s="48" t="n"/>
      <c r="L54" s="48" t="n"/>
      <c r="M54" s="53" t="n"/>
    </row>
    <row r="55">
      <c r="A55" s="48" t="inlineStr">
        <is>
          <t>DH-0054</t>
        </is>
      </c>
      <c r="B55" s="48" t="n"/>
      <c r="C55" s="48" t="n"/>
      <c r="D55" s="48" t="n"/>
      <c r="E55" s="48" t="n"/>
      <c r="F55" s="53" t="n"/>
      <c r="G55" s="53" t="n"/>
      <c r="H55" s="52">
        <f>MAX(F55-G55,0)</f>
        <v/>
      </c>
      <c r="I55" s="48" t="n"/>
      <c r="J55" s="48" t="n"/>
      <c r="K55" s="48" t="n"/>
      <c r="L55" s="48" t="n"/>
      <c r="M55" s="53" t="n"/>
    </row>
    <row r="56">
      <c r="A56" s="48" t="inlineStr">
        <is>
          <t>DH-0055</t>
        </is>
      </c>
      <c r="B56" s="48" t="n"/>
      <c r="C56" s="48" t="n"/>
      <c r="D56" s="48" t="n"/>
      <c r="E56" s="48" t="n"/>
      <c r="F56" s="53" t="n"/>
      <c r="G56" s="53" t="n"/>
      <c r="H56" s="52">
        <f>MAX(F56-G56,0)</f>
        <v/>
      </c>
      <c r="I56" s="48" t="n"/>
      <c r="J56" s="48" t="n"/>
      <c r="K56" s="48" t="n"/>
      <c r="L56" s="48" t="n"/>
      <c r="M56" s="53" t="n"/>
    </row>
    <row r="57">
      <c r="A57" s="48" t="inlineStr">
        <is>
          <t>DH-0056</t>
        </is>
      </c>
      <c r="B57" s="48" t="n"/>
      <c r="C57" s="48" t="n"/>
      <c r="D57" s="48" t="n"/>
      <c r="E57" s="48" t="n"/>
      <c r="F57" s="53" t="n"/>
      <c r="G57" s="53" t="n"/>
      <c r="H57" s="52">
        <f>MAX(F57-G57,0)</f>
        <v/>
      </c>
      <c r="I57" s="48" t="n"/>
      <c r="J57" s="48" t="n"/>
      <c r="K57" s="48" t="n"/>
      <c r="L57" s="48" t="n"/>
      <c r="M57" s="53" t="n"/>
    </row>
    <row r="58">
      <c r="A58" s="48" t="inlineStr">
        <is>
          <t>DH-0057</t>
        </is>
      </c>
      <c r="B58" s="48" t="n"/>
      <c r="C58" s="48" t="n"/>
      <c r="D58" s="48" t="n"/>
      <c r="E58" s="48" t="n"/>
      <c r="F58" s="53" t="n"/>
      <c r="G58" s="53" t="n"/>
      <c r="H58" s="52">
        <f>MAX(F58-G58,0)</f>
        <v/>
      </c>
      <c r="I58" s="48" t="n"/>
      <c r="J58" s="48" t="n"/>
      <c r="K58" s="48" t="n"/>
      <c r="L58" s="48" t="n"/>
      <c r="M58" s="53" t="n"/>
    </row>
    <row r="59">
      <c r="A59" s="48" t="inlineStr">
        <is>
          <t>DH-0058</t>
        </is>
      </c>
      <c r="B59" s="48" t="n"/>
      <c r="C59" s="48" t="n"/>
      <c r="D59" s="48" t="n"/>
      <c r="E59" s="48" t="n"/>
      <c r="F59" s="53" t="n"/>
      <c r="G59" s="53" t="n"/>
      <c r="H59" s="52">
        <f>MAX(F59-G59,0)</f>
        <v/>
      </c>
      <c r="I59" s="48" t="n"/>
      <c r="J59" s="48" t="n"/>
      <c r="K59" s="48" t="n"/>
      <c r="L59" s="48" t="n"/>
      <c r="M59" s="53" t="n"/>
    </row>
    <row r="60">
      <c r="A60" s="48" t="inlineStr">
        <is>
          <t>DH-0059</t>
        </is>
      </c>
      <c r="B60" s="48" t="n"/>
      <c r="C60" s="48" t="n"/>
      <c r="D60" s="48" t="n"/>
      <c r="E60" s="48" t="n"/>
      <c r="F60" s="53" t="n"/>
      <c r="G60" s="53" t="n"/>
      <c r="H60" s="52">
        <f>MAX(F60-G60,0)</f>
        <v/>
      </c>
      <c r="I60" s="48" t="n"/>
      <c r="J60" s="48" t="n"/>
      <c r="K60" s="48" t="n"/>
      <c r="L60" s="48" t="n"/>
      <c r="M60" s="53" t="n"/>
    </row>
    <row r="61">
      <c r="A61" s="48" t="inlineStr">
        <is>
          <t>DH-0060</t>
        </is>
      </c>
      <c r="B61" s="48" t="n"/>
      <c r="C61" s="48" t="n"/>
      <c r="D61" s="48" t="n"/>
      <c r="E61" s="48" t="n"/>
      <c r="F61" s="53" t="n"/>
      <c r="G61" s="53" t="n"/>
      <c r="H61" s="52">
        <f>MAX(F61-G61,0)</f>
        <v/>
      </c>
      <c r="I61" s="48" t="n"/>
      <c r="J61" s="48" t="n"/>
      <c r="K61" s="48" t="n"/>
      <c r="L61" s="48" t="n"/>
      <c r="M61" s="53" t="n"/>
    </row>
    <row r="62">
      <c r="A62" s="48" t="inlineStr">
        <is>
          <t>DH-0061</t>
        </is>
      </c>
      <c r="B62" s="48" t="n"/>
      <c r="C62" s="48" t="n"/>
      <c r="D62" s="48" t="n"/>
      <c r="E62" s="48" t="n"/>
      <c r="F62" s="53" t="n"/>
      <c r="G62" s="53" t="n"/>
      <c r="H62" s="52">
        <f>MAX(F62-G62,0)</f>
        <v/>
      </c>
      <c r="I62" s="48" t="n"/>
      <c r="J62" s="48" t="n"/>
      <c r="K62" s="48" t="n"/>
      <c r="L62" s="48" t="n"/>
      <c r="M62" s="53" t="n"/>
    </row>
    <row r="63">
      <c r="A63" s="48" t="inlineStr">
        <is>
          <t>DH-0062</t>
        </is>
      </c>
      <c r="B63" s="48" t="n"/>
      <c r="C63" s="48" t="n"/>
      <c r="D63" s="48" t="n"/>
      <c r="E63" s="48" t="n"/>
      <c r="F63" s="53" t="n"/>
      <c r="G63" s="53" t="n"/>
      <c r="H63" s="52">
        <f>MAX(F63-G63,0)</f>
        <v/>
      </c>
      <c r="I63" s="48" t="n"/>
      <c r="J63" s="48" t="n"/>
      <c r="K63" s="48" t="n"/>
      <c r="L63" s="48" t="n"/>
      <c r="M63" s="53" t="n"/>
    </row>
    <row r="64">
      <c r="A64" s="48" t="inlineStr">
        <is>
          <t>DH-0063</t>
        </is>
      </c>
      <c r="B64" s="48" t="n"/>
      <c r="C64" s="48" t="n"/>
      <c r="D64" s="48" t="n"/>
      <c r="E64" s="48" t="n"/>
      <c r="F64" s="53" t="n"/>
      <c r="G64" s="53" t="n"/>
      <c r="H64" s="52">
        <f>MAX(F64-G64,0)</f>
        <v/>
      </c>
      <c r="I64" s="48" t="n"/>
      <c r="J64" s="48" t="n"/>
      <c r="K64" s="48" t="n"/>
      <c r="L64" s="48" t="n"/>
      <c r="M64" s="53" t="n"/>
    </row>
    <row r="65">
      <c r="A65" s="48" t="inlineStr">
        <is>
          <t>DH-0064</t>
        </is>
      </c>
      <c r="B65" s="48" t="n"/>
      <c r="C65" s="48" t="n"/>
      <c r="D65" s="48" t="n"/>
      <c r="E65" s="48" t="n"/>
      <c r="F65" s="53" t="n"/>
      <c r="G65" s="53" t="n"/>
      <c r="H65" s="52">
        <f>MAX(F65-G65,0)</f>
        <v/>
      </c>
      <c r="I65" s="48" t="n"/>
      <c r="J65" s="48" t="n"/>
      <c r="K65" s="48" t="n"/>
      <c r="L65" s="48" t="n"/>
      <c r="M65" s="53" t="n"/>
    </row>
    <row r="66">
      <c r="A66" s="48" t="inlineStr">
        <is>
          <t>DH-0065</t>
        </is>
      </c>
      <c r="B66" s="48" t="n"/>
      <c r="C66" s="48" t="n"/>
      <c r="D66" s="48" t="n"/>
      <c r="E66" s="48" t="n"/>
      <c r="F66" s="53" t="n"/>
      <c r="G66" s="53" t="n"/>
      <c r="H66" s="52">
        <f>MAX(F66-G66,0)</f>
        <v/>
      </c>
      <c r="I66" s="48" t="n"/>
      <c r="J66" s="48" t="n"/>
      <c r="K66" s="48" t="n"/>
      <c r="L66" s="48" t="n"/>
      <c r="M66" s="53" t="n"/>
    </row>
    <row r="67">
      <c r="A67" s="48" t="inlineStr">
        <is>
          <t>DH-0066</t>
        </is>
      </c>
      <c r="B67" s="48" t="n"/>
      <c r="C67" s="48" t="n"/>
      <c r="D67" s="48" t="n"/>
      <c r="E67" s="48" t="n"/>
      <c r="F67" s="53" t="n"/>
      <c r="G67" s="53" t="n"/>
      <c r="H67" s="52">
        <f>MAX(F67-G67,0)</f>
        <v/>
      </c>
      <c r="I67" s="48" t="n"/>
      <c r="J67" s="48" t="n"/>
      <c r="K67" s="48" t="n"/>
      <c r="L67" s="48" t="n"/>
      <c r="M67" s="53" t="n"/>
    </row>
    <row r="68">
      <c r="A68" s="48" t="inlineStr">
        <is>
          <t>DH-0067</t>
        </is>
      </c>
      <c r="B68" s="48" t="n"/>
      <c r="C68" s="48" t="n"/>
      <c r="D68" s="48" t="n"/>
      <c r="E68" s="48" t="n"/>
      <c r="F68" s="53" t="n"/>
      <c r="G68" s="53" t="n"/>
      <c r="H68" s="52">
        <f>MAX(F68-G68,0)</f>
        <v/>
      </c>
      <c r="I68" s="48" t="n"/>
      <c r="J68" s="48" t="n"/>
      <c r="K68" s="48" t="n"/>
      <c r="L68" s="48" t="n"/>
      <c r="M68" s="53" t="n"/>
    </row>
    <row r="69">
      <c r="A69" s="48" t="inlineStr">
        <is>
          <t>DH-0068</t>
        </is>
      </c>
      <c r="B69" s="48" t="n"/>
      <c r="C69" s="48" t="n"/>
      <c r="D69" s="48" t="n"/>
      <c r="E69" s="48" t="n"/>
      <c r="F69" s="53" t="n"/>
      <c r="G69" s="53" t="n"/>
      <c r="H69" s="52">
        <f>MAX(F69-G69,0)</f>
        <v/>
      </c>
      <c r="I69" s="48" t="n"/>
      <c r="J69" s="48" t="n"/>
      <c r="K69" s="48" t="n"/>
      <c r="L69" s="48" t="n"/>
      <c r="M69" s="53" t="n"/>
    </row>
    <row r="70">
      <c r="A70" s="48" t="inlineStr">
        <is>
          <t>DH-0069</t>
        </is>
      </c>
      <c r="B70" s="48" t="n"/>
      <c r="C70" s="48" t="n"/>
      <c r="D70" s="48" t="n"/>
      <c r="E70" s="48" t="n"/>
      <c r="F70" s="53" t="n"/>
      <c r="G70" s="53" t="n"/>
      <c r="H70" s="52">
        <f>MAX(F70-G70,0)</f>
        <v/>
      </c>
      <c r="I70" s="48" t="n"/>
      <c r="J70" s="48" t="n"/>
      <c r="K70" s="48" t="n"/>
      <c r="L70" s="48" t="n"/>
      <c r="M70" s="53" t="n"/>
    </row>
    <row r="71">
      <c r="A71" s="48" t="inlineStr">
        <is>
          <t>DH-0070</t>
        </is>
      </c>
      <c r="B71" s="48" t="n"/>
      <c r="C71" s="48" t="n"/>
      <c r="D71" s="48" t="n"/>
      <c r="E71" s="48" t="n"/>
      <c r="F71" s="53" t="n"/>
      <c r="G71" s="53" t="n"/>
      <c r="H71" s="52">
        <f>MAX(F71-G71,0)</f>
        <v/>
      </c>
      <c r="I71" s="48" t="n"/>
      <c r="J71" s="48" t="n"/>
      <c r="K71" s="48" t="n"/>
      <c r="L71" s="48" t="n"/>
      <c r="M71" s="53" t="n"/>
    </row>
    <row r="72">
      <c r="A72" s="48" t="inlineStr">
        <is>
          <t>DH-0071</t>
        </is>
      </c>
      <c r="B72" s="48" t="n"/>
      <c r="C72" s="48" t="n"/>
      <c r="D72" s="48" t="n"/>
      <c r="E72" s="48" t="n"/>
      <c r="F72" s="53" t="n"/>
      <c r="G72" s="53" t="n"/>
      <c r="H72" s="52">
        <f>MAX(F72-G72,0)</f>
        <v/>
      </c>
      <c r="I72" s="48" t="n"/>
      <c r="J72" s="48" t="n"/>
      <c r="K72" s="48" t="n"/>
      <c r="L72" s="48" t="n"/>
      <c r="M72" s="53" t="n"/>
    </row>
    <row r="73">
      <c r="A73" s="48" t="inlineStr">
        <is>
          <t>DH-0072</t>
        </is>
      </c>
      <c r="B73" s="48" t="n"/>
      <c r="C73" s="48" t="n"/>
      <c r="D73" s="48" t="n"/>
      <c r="E73" s="48" t="n"/>
      <c r="F73" s="53" t="n"/>
      <c r="G73" s="53" t="n"/>
      <c r="H73" s="52">
        <f>MAX(F73-G73,0)</f>
        <v/>
      </c>
      <c r="I73" s="48" t="n"/>
      <c r="J73" s="48" t="n"/>
      <c r="K73" s="48" t="n"/>
      <c r="L73" s="48" t="n"/>
      <c r="M73" s="53" t="n"/>
    </row>
    <row r="74">
      <c r="A74" s="48" t="inlineStr">
        <is>
          <t>DH-0073</t>
        </is>
      </c>
      <c r="B74" s="48" t="n"/>
      <c r="C74" s="48" t="n"/>
      <c r="D74" s="48" t="n"/>
      <c r="E74" s="48" t="n"/>
      <c r="F74" s="53" t="n"/>
      <c r="G74" s="53" t="n"/>
      <c r="H74" s="52">
        <f>MAX(F74-G74,0)</f>
        <v/>
      </c>
      <c r="I74" s="48" t="n"/>
      <c r="J74" s="48" t="n"/>
      <c r="K74" s="48" t="n"/>
      <c r="L74" s="48" t="n"/>
      <c r="M74" s="53" t="n"/>
    </row>
    <row r="75">
      <c r="A75" s="48" t="inlineStr">
        <is>
          <t>DH-0074</t>
        </is>
      </c>
      <c r="B75" s="48" t="n"/>
      <c r="C75" s="48" t="n"/>
      <c r="D75" s="48" t="n"/>
      <c r="E75" s="48" t="n"/>
      <c r="F75" s="53" t="n"/>
      <c r="G75" s="53" t="n"/>
      <c r="H75" s="52">
        <f>MAX(F75-G75,0)</f>
        <v/>
      </c>
      <c r="I75" s="48" t="n"/>
      <c r="J75" s="48" t="n"/>
      <c r="K75" s="48" t="n"/>
      <c r="L75" s="48" t="n"/>
      <c r="M75" s="53" t="n"/>
    </row>
    <row r="76">
      <c r="A76" s="48" t="inlineStr">
        <is>
          <t>DH-0075</t>
        </is>
      </c>
      <c r="B76" s="48" t="n"/>
      <c r="C76" s="48" t="n"/>
      <c r="D76" s="48" t="n"/>
      <c r="E76" s="48" t="n"/>
      <c r="F76" s="53" t="n"/>
      <c r="G76" s="53" t="n"/>
      <c r="H76" s="52">
        <f>MAX(F76-G76,0)</f>
        <v/>
      </c>
      <c r="I76" s="48" t="n"/>
      <c r="J76" s="48" t="n"/>
      <c r="K76" s="48" t="n"/>
      <c r="L76" s="48" t="n"/>
      <c r="M76" s="53" t="n"/>
    </row>
    <row r="77">
      <c r="A77" s="48" t="inlineStr">
        <is>
          <t>DH-0076</t>
        </is>
      </c>
      <c r="B77" s="48" t="n"/>
      <c r="C77" s="48" t="n"/>
      <c r="D77" s="48" t="n"/>
      <c r="E77" s="48" t="n"/>
      <c r="F77" s="53" t="n"/>
      <c r="G77" s="53" t="n"/>
      <c r="H77" s="52">
        <f>MAX(F77-G77,0)</f>
        <v/>
      </c>
      <c r="I77" s="48" t="n"/>
      <c r="J77" s="48" t="n"/>
      <c r="K77" s="48" t="n"/>
      <c r="L77" s="48" t="n"/>
      <c r="M77" s="53" t="n"/>
    </row>
    <row r="78">
      <c r="A78" s="48" t="inlineStr">
        <is>
          <t>DH-0077</t>
        </is>
      </c>
      <c r="B78" s="48" t="n"/>
      <c r="C78" s="48" t="n"/>
      <c r="D78" s="48" t="n"/>
      <c r="E78" s="48" t="n"/>
      <c r="F78" s="53" t="n"/>
      <c r="G78" s="53" t="n"/>
      <c r="H78" s="52">
        <f>MAX(F78-G78,0)</f>
        <v/>
      </c>
      <c r="I78" s="48" t="n"/>
      <c r="J78" s="48" t="n"/>
      <c r="K78" s="48" t="n"/>
      <c r="L78" s="48" t="n"/>
      <c r="M78" s="53" t="n"/>
    </row>
    <row r="79">
      <c r="A79" s="48" t="inlineStr">
        <is>
          <t>DH-0078</t>
        </is>
      </c>
      <c r="B79" s="48" t="n"/>
      <c r="C79" s="48" t="n"/>
      <c r="D79" s="48" t="n"/>
      <c r="E79" s="48" t="n"/>
      <c r="F79" s="53" t="n"/>
      <c r="G79" s="53" t="n"/>
      <c r="H79" s="52">
        <f>MAX(F79-G79,0)</f>
        <v/>
      </c>
      <c r="I79" s="48" t="n"/>
      <c r="J79" s="48" t="n"/>
      <c r="K79" s="48" t="n"/>
      <c r="L79" s="48" t="n"/>
      <c r="M79" s="53" t="n"/>
    </row>
    <row r="80">
      <c r="A80" s="48" t="inlineStr">
        <is>
          <t>DH-0079</t>
        </is>
      </c>
      <c r="B80" s="48" t="n"/>
      <c r="C80" s="48" t="n"/>
      <c r="D80" s="48" t="n"/>
      <c r="E80" s="48" t="n"/>
      <c r="F80" s="53" t="n"/>
      <c r="G80" s="53" t="n"/>
      <c r="H80" s="52">
        <f>MAX(F80-G80,0)</f>
        <v/>
      </c>
      <c r="I80" s="48" t="n"/>
      <c r="J80" s="48" t="n"/>
      <c r="K80" s="48" t="n"/>
      <c r="L80" s="48" t="n"/>
      <c r="M80" s="53" t="n"/>
    </row>
    <row r="81">
      <c r="A81" s="48" t="inlineStr">
        <is>
          <t>DH-0080</t>
        </is>
      </c>
      <c r="B81" s="48" t="n"/>
      <c r="C81" s="48" t="n"/>
      <c r="D81" s="48" t="n"/>
      <c r="E81" s="48" t="n"/>
      <c r="F81" s="53" t="n"/>
      <c r="G81" s="53" t="n"/>
      <c r="H81" s="52">
        <f>MAX(F81-G81,0)</f>
        <v/>
      </c>
      <c r="I81" s="48" t="n"/>
      <c r="J81" s="48" t="n"/>
      <c r="K81" s="48" t="n"/>
      <c r="L81" s="48" t="n"/>
      <c r="M81" s="53" t="n"/>
    </row>
    <row r="82">
      <c r="A82" s="48" t="inlineStr">
        <is>
          <t>DH-0081</t>
        </is>
      </c>
      <c r="B82" s="48" t="n"/>
      <c r="C82" s="48" t="n"/>
      <c r="D82" s="48" t="n"/>
      <c r="E82" s="48" t="n"/>
      <c r="F82" s="53" t="n"/>
      <c r="G82" s="53" t="n"/>
      <c r="H82" s="52">
        <f>MAX(F82-G82,0)</f>
        <v/>
      </c>
      <c r="I82" s="48" t="n"/>
      <c r="J82" s="48" t="n"/>
      <c r="K82" s="48" t="n"/>
      <c r="L82" s="48" t="n"/>
      <c r="M82" s="53" t="n"/>
    </row>
    <row r="83">
      <c r="A83" s="48" t="inlineStr">
        <is>
          <t>DH-0082</t>
        </is>
      </c>
      <c r="B83" s="48" t="n"/>
      <c r="C83" s="48" t="n"/>
      <c r="D83" s="48" t="n"/>
      <c r="E83" s="48" t="n"/>
      <c r="F83" s="53" t="n"/>
      <c r="G83" s="53" t="n"/>
      <c r="H83" s="52">
        <f>MAX(F83-G83,0)</f>
        <v/>
      </c>
      <c r="I83" s="48" t="n"/>
      <c r="J83" s="48" t="n"/>
      <c r="K83" s="48" t="n"/>
      <c r="L83" s="48" t="n"/>
      <c r="M83" s="53" t="n"/>
    </row>
    <row r="84">
      <c r="A84" s="48" t="inlineStr">
        <is>
          <t>DH-0083</t>
        </is>
      </c>
      <c r="B84" s="48" t="n"/>
      <c r="C84" s="48" t="n"/>
      <c r="D84" s="48" t="n"/>
      <c r="E84" s="48" t="n"/>
      <c r="F84" s="53" t="n"/>
      <c r="G84" s="53" t="n"/>
      <c r="H84" s="52">
        <f>MAX(F84-G84,0)</f>
        <v/>
      </c>
      <c r="I84" s="48" t="n"/>
      <c r="J84" s="48" t="n"/>
      <c r="K84" s="48" t="n"/>
      <c r="L84" s="48" t="n"/>
      <c r="M84" s="53" t="n"/>
    </row>
    <row r="85">
      <c r="A85" s="48" t="inlineStr">
        <is>
          <t>DH-0084</t>
        </is>
      </c>
      <c r="B85" s="48" t="n"/>
      <c r="C85" s="48" t="n"/>
      <c r="D85" s="48" t="n"/>
      <c r="E85" s="48" t="n"/>
      <c r="F85" s="53" t="n"/>
      <c r="G85" s="53" t="n"/>
      <c r="H85" s="52">
        <f>MAX(F85-G85,0)</f>
        <v/>
      </c>
      <c r="I85" s="48" t="n"/>
      <c r="J85" s="48" t="n"/>
      <c r="K85" s="48" t="n"/>
      <c r="L85" s="48" t="n"/>
      <c r="M85" s="53" t="n"/>
    </row>
    <row r="86">
      <c r="A86" s="48" t="inlineStr">
        <is>
          <t>DH-0085</t>
        </is>
      </c>
      <c r="B86" s="48" t="n"/>
      <c r="C86" s="48" t="n"/>
      <c r="D86" s="48" t="n"/>
      <c r="E86" s="48" t="n"/>
      <c r="F86" s="53" t="n"/>
      <c r="G86" s="53" t="n"/>
      <c r="H86" s="52">
        <f>MAX(F86-G86,0)</f>
        <v/>
      </c>
      <c r="I86" s="48" t="n"/>
      <c r="J86" s="48" t="n"/>
      <c r="K86" s="48" t="n"/>
      <c r="L86" s="48" t="n"/>
      <c r="M86" s="53" t="n"/>
    </row>
    <row r="87">
      <c r="A87" s="48" t="inlineStr">
        <is>
          <t>DH-0086</t>
        </is>
      </c>
      <c r="B87" s="48" t="n"/>
      <c r="C87" s="48" t="n"/>
      <c r="D87" s="48" t="n"/>
      <c r="E87" s="48" t="n"/>
      <c r="F87" s="53" t="n"/>
      <c r="G87" s="53" t="n"/>
      <c r="H87" s="52">
        <f>MAX(F87-G87,0)</f>
        <v/>
      </c>
      <c r="I87" s="48" t="n"/>
      <c r="J87" s="48" t="n"/>
      <c r="K87" s="48" t="n"/>
      <c r="L87" s="48" t="n"/>
      <c r="M87" s="53" t="n"/>
    </row>
    <row r="88">
      <c r="A88" s="48" t="inlineStr">
        <is>
          <t>DH-0087</t>
        </is>
      </c>
      <c r="B88" s="48" t="n"/>
      <c r="C88" s="48" t="n"/>
      <c r="D88" s="48" t="n"/>
      <c r="E88" s="48" t="n"/>
      <c r="F88" s="53" t="n"/>
      <c r="G88" s="53" t="n"/>
      <c r="H88" s="52">
        <f>MAX(F88-G88,0)</f>
        <v/>
      </c>
      <c r="I88" s="48" t="n"/>
      <c r="J88" s="48" t="n"/>
      <c r="K88" s="48" t="n"/>
      <c r="L88" s="48" t="n"/>
      <c r="M88" s="53" t="n"/>
    </row>
    <row r="89">
      <c r="A89" s="48" t="inlineStr">
        <is>
          <t>DH-0088</t>
        </is>
      </c>
      <c r="B89" s="48" t="n"/>
      <c r="C89" s="48" t="n"/>
      <c r="D89" s="48" t="n"/>
      <c r="E89" s="48" t="n"/>
      <c r="F89" s="53" t="n"/>
      <c r="G89" s="53" t="n"/>
      <c r="H89" s="52">
        <f>MAX(F89-G89,0)</f>
        <v/>
      </c>
      <c r="I89" s="48" t="n"/>
      <c r="J89" s="48" t="n"/>
      <c r="K89" s="48" t="n"/>
      <c r="L89" s="48" t="n"/>
      <c r="M89" s="53" t="n"/>
    </row>
    <row r="90">
      <c r="A90" s="48" t="inlineStr">
        <is>
          <t>DH-0089</t>
        </is>
      </c>
      <c r="B90" s="48" t="n"/>
      <c r="C90" s="48" t="n"/>
      <c r="D90" s="48" t="n"/>
      <c r="E90" s="48" t="n"/>
      <c r="F90" s="53" t="n"/>
      <c r="G90" s="53" t="n"/>
      <c r="H90" s="52">
        <f>MAX(F90-G90,0)</f>
        <v/>
      </c>
      <c r="I90" s="48" t="n"/>
      <c r="J90" s="48" t="n"/>
      <c r="K90" s="48" t="n"/>
      <c r="L90" s="48" t="n"/>
      <c r="M90" s="53" t="n"/>
    </row>
    <row r="91">
      <c r="A91" s="48" t="inlineStr">
        <is>
          <t>DH-0090</t>
        </is>
      </c>
      <c r="B91" s="48" t="n"/>
      <c r="C91" s="48" t="n"/>
      <c r="D91" s="48" t="n"/>
      <c r="E91" s="48" t="n"/>
      <c r="F91" s="53" t="n"/>
      <c r="G91" s="53" t="n"/>
      <c r="H91" s="52">
        <f>MAX(F91-G91,0)</f>
        <v/>
      </c>
      <c r="I91" s="48" t="n"/>
      <c r="J91" s="48" t="n"/>
      <c r="K91" s="48" t="n"/>
      <c r="L91" s="48" t="n"/>
      <c r="M91" s="53" t="n"/>
    </row>
    <row r="92">
      <c r="A92" s="48" t="inlineStr">
        <is>
          <t>DH-0091</t>
        </is>
      </c>
      <c r="B92" s="48" t="n"/>
      <c r="C92" s="48" t="n"/>
      <c r="D92" s="48" t="n"/>
      <c r="E92" s="48" t="n"/>
      <c r="F92" s="53" t="n"/>
      <c r="G92" s="53" t="n"/>
      <c r="H92" s="52">
        <f>MAX(F92-G92,0)</f>
        <v/>
      </c>
      <c r="I92" s="48" t="n"/>
      <c r="J92" s="48" t="n"/>
      <c r="K92" s="48" t="n"/>
      <c r="L92" s="48" t="n"/>
      <c r="M92" s="53" t="n"/>
    </row>
    <row r="93">
      <c r="A93" s="48" t="inlineStr">
        <is>
          <t>DH-0092</t>
        </is>
      </c>
      <c r="B93" s="48" t="n"/>
      <c r="C93" s="48" t="n"/>
      <c r="D93" s="48" t="n"/>
      <c r="E93" s="48" t="n"/>
      <c r="F93" s="53" t="n"/>
      <c r="G93" s="53" t="n"/>
      <c r="H93" s="52">
        <f>MAX(F93-G93,0)</f>
        <v/>
      </c>
      <c r="I93" s="48" t="n"/>
      <c r="J93" s="48" t="n"/>
      <c r="K93" s="48" t="n"/>
      <c r="L93" s="48" t="n"/>
      <c r="M93" s="53" t="n"/>
    </row>
    <row r="94">
      <c r="A94" s="48" t="inlineStr">
        <is>
          <t>DH-0093</t>
        </is>
      </c>
      <c r="B94" s="48" t="n"/>
      <c r="C94" s="48" t="n"/>
      <c r="D94" s="48" t="n"/>
      <c r="E94" s="48" t="n"/>
      <c r="F94" s="53" t="n"/>
      <c r="G94" s="53" t="n"/>
      <c r="H94" s="52">
        <f>MAX(F94-G94,0)</f>
        <v/>
      </c>
      <c r="I94" s="48" t="n"/>
      <c r="J94" s="48" t="n"/>
      <c r="K94" s="48" t="n"/>
      <c r="L94" s="48" t="n"/>
      <c r="M94" s="53" t="n"/>
    </row>
    <row r="95">
      <c r="A95" s="48" t="inlineStr">
        <is>
          <t>DH-0094</t>
        </is>
      </c>
      <c r="B95" s="48" t="n"/>
      <c r="C95" s="48" t="n"/>
      <c r="D95" s="48" t="n"/>
      <c r="E95" s="48" t="n"/>
      <c r="F95" s="53" t="n"/>
      <c r="G95" s="53" t="n"/>
      <c r="H95" s="52">
        <f>MAX(F95-G95,0)</f>
        <v/>
      </c>
      <c r="I95" s="48" t="n"/>
      <c r="J95" s="48" t="n"/>
      <c r="K95" s="48" t="n"/>
      <c r="L95" s="48" t="n"/>
      <c r="M95" s="53" t="n"/>
    </row>
    <row r="96">
      <c r="A96" s="48" t="inlineStr">
        <is>
          <t>DH-0095</t>
        </is>
      </c>
      <c r="B96" s="48" t="n"/>
      <c r="C96" s="48" t="n"/>
      <c r="D96" s="48" t="n"/>
      <c r="E96" s="48" t="n"/>
      <c r="F96" s="53" t="n"/>
      <c r="G96" s="53" t="n"/>
      <c r="H96" s="52">
        <f>MAX(F96-G96,0)</f>
        <v/>
      </c>
      <c r="I96" s="48" t="n"/>
      <c r="J96" s="48" t="n"/>
      <c r="K96" s="48" t="n"/>
      <c r="L96" s="48" t="n"/>
      <c r="M96" s="53" t="n"/>
    </row>
    <row r="97">
      <c r="A97" s="48" t="inlineStr">
        <is>
          <t>DH-0096</t>
        </is>
      </c>
      <c r="B97" s="48" t="n"/>
      <c r="C97" s="48" t="n"/>
      <c r="D97" s="48" t="n"/>
      <c r="E97" s="48" t="n"/>
      <c r="F97" s="53" t="n"/>
      <c r="G97" s="53" t="n"/>
      <c r="H97" s="52">
        <f>MAX(F97-G97,0)</f>
        <v/>
      </c>
      <c r="I97" s="48" t="n"/>
      <c r="J97" s="48" t="n"/>
      <c r="K97" s="48" t="n"/>
      <c r="L97" s="48" t="n"/>
      <c r="M97" s="53" t="n"/>
    </row>
    <row r="98">
      <c r="A98" s="48" t="inlineStr">
        <is>
          <t>DH-0097</t>
        </is>
      </c>
      <c r="B98" s="48" t="n"/>
      <c r="C98" s="48" t="n"/>
      <c r="D98" s="48" t="n"/>
      <c r="E98" s="48" t="n"/>
      <c r="F98" s="53" t="n"/>
      <c r="G98" s="53" t="n"/>
      <c r="H98" s="52">
        <f>MAX(F98-G98,0)</f>
        <v/>
      </c>
      <c r="I98" s="48" t="n"/>
      <c r="J98" s="48" t="n"/>
      <c r="K98" s="48" t="n"/>
      <c r="L98" s="48" t="n"/>
      <c r="M98" s="53" t="n"/>
    </row>
    <row r="99">
      <c r="A99" s="48" t="inlineStr">
        <is>
          <t>DH-0098</t>
        </is>
      </c>
      <c r="B99" s="48" t="n"/>
      <c r="C99" s="48" t="n"/>
      <c r="D99" s="48" t="n"/>
      <c r="E99" s="48" t="n"/>
      <c r="F99" s="53" t="n"/>
      <c r="G99" s="53" t="n"/>
      <c r="H99" s="52">
        <f>MAX(F99-G99,0)</f>
        <v/>
      </c>
      <c r="I99" s="48" t="n"/>
      <c r="J99" s="48" t="n"/>
      <c r="K99" s="48" t="n"/>
      <c r="L99" s="48" t="n"/>
      <c r="M99" s="53" t="n"/>
    </row>
    <row r="100">
      <c r="A100" s="48" t="inlineStr">
        <is>
          <t>DH-0099</t>
        </is>
      </c>
      <c r="B100" s="48" t="n"/>
      <c r="C100" s="48" t="n"/>
      <c r="D100" s="48" t="n"/>
      <c r="E100" s="48" t="n"/>
      <c r="F100" s="53" t="n"/>
      <c r="G100" s="53" t="n"/>
      <c r="H100" s="52">
        <f>MAX(F100-G100,0)</f>
        <v/>
      </c>
      <c r="I100" s="48" t="n"/>
      <c r="J100" s="48" t="n"/>
      <c r="K100" s="48" t="n"/>
      <c r="L100" s="48" t="n"/>
      <c r="M100" s="53" t="n"/>
    </row>
    <row r="101">
      <c r="A101" s="48" t="inlineStr">
        <is>
          <t>DH-0100</t>
        </is>
      </c>
      <c r="B101" s="48" t="n"/>
      <c r="C101" s="48" t="n"/>
      <c r="D101" s="48" t="n"/>
      <c r="E101" s="48" t="n"/>
      <c r="F101" s="53" t="n"/>
      <c r="G101" s="53" t="n"/>
      <c r="H101" s="52">
        <f>MAX(F101-G101,0)</f>
        <v/>
      </c>
      <c r="I101" s="48" t="n"/>
      <c r="J101" s="48" t="n"/>
      <c r="K101" s="48" t="n"/>
      <c r="L101" s="48" t="n"/>
      <c r="M101" s="53" t="n"/>
    </row>
    <row r="102">
      <c r="A102" s="48" t="inlineStr">
        <is>
          <t>DH-0101</t>
        </is>
      </c>
      <c r="B102" s="48" t="n"/>
      <c r="C102" s="48" t="n"/>
      <c r="D102" s="48" t="n"/>
      <c r="E102" s="48" t="n"/>
      <c r="F102" s="53" t="n"/>
      <c r="G102" s="53" t="n"/>
      <c r="H102" s="52">
        <f>MAX(F102-G102,0)</f>
        <v/>
      </c>
      <c r="I102" s="48" t="n"/>
      <c r="J102" s="48" t="n"/>
      <c r="K102" s="48" t="n"/>
      <c r="L102" s="48" t="n"/>
      <c r="M102" s="53" t="n"/>
    </row>
    <row r="103">
      <c r="A103" s="48" t="inlineStr">
        <is>
          <t>DH-0102</t>
        </is>
      </c>
      <c r="B103" s="48" t="n"/>
      <c r="C103" s="48" t="n"/>
      <c r="D103" s="48" t="n"/>
      <c r="E103" s="48" t="n"/>
      <c r="F103" s="53" t="n"/>
      <c r="G103" s="53" t="n"/>
      <c r="H103" s="52">
        <f>MAX(F103-G103,0)</f>
        <v/>
      </c>
      <c r="I103" s="48" t="n"/>
      <c r="J103" s="48" t="n"/>
      <c r="K103" s="48" t="n"/>
      <c r="L103" s="48" t="n"/>
      <c r="M103" s="53" t="n"/>
    </row>
    <row r="104">
      <c r="A104" s="48" t="inlineStr">
        <is>
          <t>DH-0103</t>
        </is>
      </c>
      <c r="B104" s="48" t="n"/>
      <c r="C104" s="48" t="n"/>
      <c r="D104" s="48" t="n"/>
      <c r="E104" s="48" t="n"/>
      <c r="F104" s="53" t="n"/>
      <c r="G104" s="53" t="n"/>
      <c r="H104" s="52">
        <f>MAX(F104-G104,0)</f>
        <v/>
      </c>
      <c r="I104" s="48" t="n"/>
      <c r="J104" s="48" t="n"/>
      <c r="K104" s="48" t="n"/>
      <c r="L104" s="48" t="n"/>
      <c r="M104" s="53" t="n"/>
    </row>
    <row r="105">
      <c r="A105" s="48" t="inlineStr">
        <is>
          <t>DH-0104</t>
        </is>
      </c>
      <c r="B105" s="48" t="n"/>
      <c r="C105" s="48" t="n"/>
      <c r="D105" s="48" t="n"/>
      <c r="E105" s="48" t="n"/>
      <c r="F105" s="53" t="n"/>
      <c r="G105" s="53" t="n"/>
      <c r="H105" s="52">
        <f>MAX(F105-G105,0)</f>
        <v/>
      </c>
      <c r="I105" s="48" t="n"/>
      <c r="J105" s="48" t="n"/>
      <c r="K105" s="48" t="n"/>
      <c r="L105" s="48" t="n"/>
      <c r="M105" s="53" t="n"/>
    </row>
    <row r="106">
      <c r="A106" s="48" t="inlineStr">
        <is>
          <t>DH-0105</t>
        </is>
      </c>
      <c r="B106" s="48" t="n"/>
      <c r="C106" s="48" t="n"/>
      <c r="D106" s="48" t="n"/>
      <c r="E106" s="48" t="n"/>
      <c r="F106" s="53" t="n"/>
      <c r="G106" s="53" t="n"/>
      <c r="H106" s="52">
        <f>MAX(F106-G106,0)</f>
        <v/>
      </c>
      <c r="I106" s="48" t="n"/>
      <c r="J106" s="48" t="n"/>
      <c r="K106" s="48" t="n"/>
      <c r="L106" s="48" t="n"/>
      <c r="M106" s="53" t="n"/>
    </row>
    <row r="107">
      <c r="A107" s="48" t="inlineStr">
        <is>
          <t>DH-0106</t>
        </is>
      </c>
      <c r="B107" s="48" t="n"/>
      <c r="C107" s="48" t="n"/>
      <c r="D107" s="48" t="n"/>
      <c r="E107" s="48" t="n"/>
      <c r="F107" s="53" t="n"/>
      <c r="G107" s="53" t="n"/>
      <c r="H107" s="52">
        <f>MAX(F107-G107,0)</f>
        <v/>
      </c>
      <c r="I107" s="48" t="n"/>
      <c r="J107" s="48" t="n"/>
      <c r="K107" s="48" t="n"/>
      <c r="L107" s="48" t="n"/>
      <c r="M107" s="53" t="n"/>
    </row>
    <row r="108">
      <c r="A108" s="48" t="inlineStr">
        <is>
          <t>DH-0107</t>
        </is>
      </c>
      <c r="B108" s="48" t="n"/>
      <c r="C108" s="48" t="n"/>
      <c r="D108" s="48" t="n"/>
      <c r="E108" s="48" t="n"/>
      <c r="F108" s="53" t="n"/>
      <c r="G108" s="53" t="n"/>
      <c r="H108" s="52">
        <f>MAX(F108-G108,0)</f>
        <v/>
      </c>
      <c r="I108" s="48" t="n"/>
      <c r="J108" s="48" t="n"/>
      <c r="K108" s="48" t="n"/>
      <c r="L108" s="48" t="n"/>
      <c r="M108" s="53" t="n"/>
    </row>
    <row r="109">
      <c r="A109" s="48" t="inlineStr">
        <is>
          <t>DH-0108</t>
        </is>
      </c>
      <c r="B109" s="48" t="n"/>
      <c r="C109" s="48" t="n"/>
      <c r="D109" s="48" t="n"/>
      <c r="E109" s="48" t="n"/>
      <c r="F109" s="53" t="n"/>
      <c r="G109" s="53" t="n"/>
      <c r="H109" s="52">
        <f>MAX(F109-G109,0)</f>
        <v/>
      </c>
      <c r="I109" s="48" t="n"/>
      <c r="J109" s="48" t="n"/>
      <c r="K109" s="48" t="n"/>
      <c r="L109" s="48" t="n"/>
      <c r="M109" s="53" t="n"/>
    </row>
    <row r="110">
      <c r="A110" s="48" t="inlineStr">
        <is>
          <t>DH-0109</t>
        </is>
      </c>
      <c r="B110" s="48" t="n"/>
      <c r="C110" s="48" t="n"/>
      <c r="D110" s="48" t="n"/>
      <c r="E110" s="48" t="n"/>
      <c r="F110" s="53" t="n"/>
      <c r="G110" s="53" t="n"/>
      <c r="H110" s="52">
        <f>MAX(F110-G110,0)</f>
        <v/>
      </c>
      <c r="I110" s="48" t="n"/>
      <c r="J110" s="48" t="n"/>
      <c r="K110" s="48" t="n"/>
      <c r="L110" s="48" t="n"/>
      <c r="M110" s="53" t="n"/>
    </row>
    <row r="111">
      <c r="A111" s="48" t="inlineStr">
        <is>
          <t>DH-0110</t>
        </is>
      </c>
      <c r="B111" s="48" t="n"/>
      <c r="C111" s="48" t="n"/>
      <c r="D111" s="48" t="n"/>
      <c r="E111" s="48" t="n"/>
      <c r="F111" s="53" t="n"/>
      <c r="G111" s="53" t="n"/>
      <c r="H111" s="52">
        <f>MAX(F111-G111,0)</f>
        <v/>
      </c>
      <c r="I111" s="48" t="n"/>
      <c r="J111" s="48" t="n"/>
      <c r="K111" s="48" t="n"/>
      <c r="L111" s="48" t="n"/>
      <c r="M111" s="53" t="n"/>
    </row>
    <row r="112">
      <c r="A112" s="48" t="inlineStr">
        <is>
          <t>DH-0111</t>
        </is>
      </c>
      <c r="B112" s="48" t="n"/>
      <c r="C112" s="48" t="n"/>
      <c r="D112" s="48" t="n"/>
      <c r="E112" s="48" t="n"/>
      <c r="F112" s="53" t="n"/>
      <c r="G112" s="53" t="n"/>
      <c r="H112" s="52">
        <f>MAX(F112-G112,0)</f>
        <v/>
      </c>
      <c r="I112" s="48" t="n"/>
      <c r="J112" s="48" t="n"/>
      <c r="K112" s="48" t="n"/>
      <c r="L112" s="48" t="n"/>
      <c r="M112" s="53" t="n"/>
    </row>
    <row r="113">
      <c r="A113" s="48" t="inlineStr">
        <is>
          <t>DH-0112</t>
        </is>
      </c>
      <c r="B113" s="48" t="n"/>
      <c r="C113" s="48" t="n"/>
      <c r="D113" s="48" t="n"/>
      <c r="E113" s="48" t="n"/>
      <c r="F113" s="53" t="n"/>
      <c r="G113" s="53" t="n"/>
      <c r="H113" s="52">
        <f>MAX(F113-G113,0)</f>
        <v/>
      </c>
      <c r="I113" s="48" t="n"/>
      <c r="J113" s="48" t="n"/>
      <c r="K113" s="48" t="n"/>
      <c r="L113" s="48" t="n"/>
      <c r="M113" s="53" t="n"/>
    </row>
    <row r="114">
      <c r="A114" s="48" t="inlineStr">
        <is>
          <t>DH-0113</t>
        </is>
      </c>
      <c r="B114" s="48" t="n"/>
      <c r="C114" s="48" t="n"/>
      <c r="D114" s="48" t="n"/>
      <c r="E114" s="48" t="n"/>
      <c r="F114" s="53" t="n"/>
      <c r="G114" s="53" t="n"/>
      <c r="H114" s="52">
        <f>MAX(F114-G114,0)</f>
        <v/>
      </c>
      <c r="I114" s="48" t="n"/>
      <c r="J114" s="48" t="n"/>
      <c r="K114" s="48" t="n"/>
      <c r="L114" s="48" t="n"/>
      <c r="M114" s="53" t="n"/>
    </row>
    <row r="115">
      <c r="A115" s="48" t="inlineStr">
        <is>
          <t>DH-0114</t>
        </is>
      </c>
      <c r="B115" s="48" t="n"/>
      <c r="C115" s="48" t="n"/>
      <c r="D115" s="48" t="n"/>
      <c r="E115" s="48" t="n"/>
      <c r="F115" s="53" t="n"/>
      <c r="G115" s="53" t="n"/>
      <c r="H115" s="52">
        <f>MAX(F115-G115,0)</f>
        <v/>
      </c>
      <c r="I115" s="48" t="n"/>
      <c r="J115" s="48" t="n"/>
      <c r="K115" s="48" t="n"/>
      <c r="L115" s="48" t="n"/>
      <c r="M115" s="53" t="n"/>
    </row>
    <row r="116">
      <c r="A116" s="48" t="inlineStr">
        <is>
          <t>DH-0115</t>
        </is>
      </c>
      <c r="B116" s="48" t="n"/>
      <c r="C116" s="48" t="n"/>
      <c r="D116" s="48" t="n"/>
      <c r="E116" s="48" t="n"/>
      <c r="F116" s="53" t="n"/>
      <c r="G116" s="53" t="n"/>
      <c r="H116" s="52">
        <f>MAX(F116-G116,0)</f>
        <v/>
      </c>
      <c r="I116" s="48" t="n"/>
      <c r="J116" s="48" t="n"/>
      <c r="K116" s="48" t="n"/>
      <c r="L116" s="48" t="n"/>
      <c r="M116" s="53" t="n"/>
    </row>
    <row r="117">
      <c r="A117" s="48" t="inlineStr">
        <is>
          <t>DH-0116</t>
        </is>
      </c>
      <c r="B117" s="48" t="n"/>
      <c r="C117" s="48" t="n"/>
      <c r="D117" s="48" t="n"/>
      <c r="E117" s="48" t="n"/>
      <c r="F117" s="53" t="n"/>
      <c r="G117" s="53" t="n"/>
      <c r="H117" s="52">
        <f>MAX(F117-G117,0)</f>
        <v/>
      </c>
      <c r="I117" s="48" t="n"/>
      <c r="J117" s="48" t="n"/>
      <c r="K117" s="48" t="n"/>
      <c r="L117" s="48" t="n"/>
      <c r="M117" s="53" t="n"/>
    </row>
    <row r="118">
      <c r="A118" s="48" t="inlineStr">
        <is>
          <t>DH-0117</t>
        </is>
      </c>
      <c r="B118" s="48" t="n"/>
      <c r="C118" s="48" t="n"/>
      <c r="D118" s="48" t="n"/>
      <c r="E118" s="48" t="n"/>
      <c r="F118" s="53" t="n"/>
      <c r="G118" s="53" t="n"/>
      <c r="H118" s="52">
        <f>MAX(F118-G118,0)</f>
        <v/>
      </c>
      <c r="I118" s="48" t="n"/>
      <c r="J118" s="48" t="n"/>
      <c r="K118" s="48" t="n"/>
      <c r="L118" s="48" t="n"/>
      <c r="M118" s="53" t="n"/>
    </row>
    <row r="119">
      <c r="A119" s="48" t="inlineStr">
        <is>
          <t>DH-0118</t>
        </is>
      </c>
      <c r="B119" s="48" t="n"/>
      <c r="C119" s="48" t="n"/>
      <c r="D119" s="48" t="n"/>
      <c r="E119" s="48" t="n"/>
      <c r="F119" s="53" t="n"/>
      <c r="G119" s="53" t="n"/>
      <c r="H119" s="52">
        <f>MAX(F119-G119,0)</f>
        <v/>
      </c>
      <c r="I119" s="48" t="n"/>
      <c r="J119" s="48" t="n"/>
      <c r="K119" s="48" t="n"/>
      <c r="L119" s="48" t="n"/>
      <c r="M119" s="53" t="n"/>
    </row>
    <row r="120">
      <c r="A120" s="48" t="inlineStr">
        <is>
          <t>DH-0119</t>
        </is>
      </c>
      <c r="B120" s="48" t="n"/>
      <c r="C120" s="48" t="n"/>
      <c r="D120" s="48" t="n"/>
      <c r="E120" s="48" t="n"/>
      <c r="F120" s="53" t="n"/>
      <c r="G120" s="53" t="n"/>
      <c r="H120" s="52">
        <f>MAX(F120-G120,0)</f>
        <v/>
      </c>
      <c r="I120" s="48" t="n"/>
      <c r="J120" s="48" t="n"/>
      <c r="K120" s="48" t="n"/>
      <c r="L120" s="48" t="n"/>
      <c r="M120" s="53" t="n"/>
    </row>
    <row r="121">
      <c r="A121" s="48" t="inlineStr">
        <is>
          <t>DH-0120</t>
        </is>
      </c>
      <c r="B121" s="48" t="n"/>
      <c r="C121" s="48" t="n"/>
      <c r="D121" s="48" t="n"/>
      <c r="E121" s="48" t="n"/>
      <c r="F121" s="53" t="n"/>
      <c r="G121" s="53" t="n"/>
      <c r="H121" s="52">
        <f>MAX(F121-G121,0)</f>
        <v/>
      </c>
      <c r="I121" s="48" t="n"/>
      <c r="J121" s="48" t="n"/>
      <c r="K121" s="48" t="n"/>
      <c r="L121" s="48" t="n"/>
      <c r="M121" s="53" t="n"/>
    </row>
    <row r="122">
      <c r="A122" s="48" t="inlineStr">
        <is>
          <t>DH-0121</t>
        </is>
      </c>
      <c r="B122" s="48" t="n"/>
      <c r="C122" s="48" t="n"/>
      <c r="D122" s="48" t="n"/>
      <c r="E122" s="48" t="n"/>
      <c r="F122" s="53" t="n"/>
      <c r="G122" s="53" t="n"/>
      <c r="H122" s="52">
        <f>MAX(F122-G122,0)</f>
        <v/>
      </c>
      <c r="I122" s="48" t="n"/>
      <c r="J122" s="48" t="n"/>
      <c r="K122" s="48" t="n"/>
      <c r="L122" s="48" t="n"/>
      <c r="M122" s="53" t="n"/>
    </row>
    <row r="123">
      <c r="A123" s="48" t="inlineStr">
        <is>
          <t>DH-0122</t>
        </is>
      </c>
      <c r="B123" s="48" t="n"/>
      <c r="C123" s="48" t="n"/>
      <c r="D123" s="48" t="n"/>
      <c r="E123" s="48" t="n"/>
      <c r="F123" s="53" t="n"/>
      <c r="G123" s="53" t="n"/>
      <c r="H123" s="52">
        <f>MAX(F123-G123,0)</f>
        <v/>
      </c>
      <c r="I123" s="48" t="n"/>
      <c r="J123" s="48" t="n"/>
      <c r="K123" s="48" t="n"/>
      <c r="L123" s="48" t="n"/>
      <c r="M123" s="53" t="n"/>
    </row>
    <row r="124">
      <c r="A124" s="48" t="inlineStr">
        <is>
          <t>DH-0123</t>
        </is>
      </c>
      <c r="B124" s="48" t="n"/>
      <c r="C124" s="48" t="n"/>
      <c r="D124" s="48" t="n"/>
      <c r="E124" s="48" t="n"/>
      <c r="F124" s="53" t="n"/>
      <c r="G124" s="53" t="n"/>
      <c r="H124" s="52">
        <f>MAX(F124-G124,0)</f>
        <v/>
      </c>
      <c r="I124" s="48" t="n"/>
      <c r="J124" s="48" t="n"/>
      <c r="K124" s="48" t="n"/>
      <c r="L124" s="48" t="n"/>
      <c r="M124" s="53" t="n"/>
    </row>
    <row r="125">
      <c r="A125" s="48" t="inlineStr">
        <is>
          <t>DH-0124</t>
        </is>
      </c>
      <c r="B125" s="48" t="n"/>
      <c r="C125" s="48" t="n"/>
      <c r="D125" s="48" t="n"/>
      <c r="E125" s="48" t="n"/>
      <c r="F125" s="53" t="n"/>
      <c r="G125" s="53" t="n"/>
      <c r="H125" s="52">
        <f>MAX(F125-G125,0)</f>
        <v/>
      </c>
      <c r="I125" s="48" t="n"/>
      <c r="J125" s="48" t="n"/>
      <c r="K125" s="48" t="n"/>
      <c r="L125" s="48" t="n"/>
      <c r="M125" s="53" t="n"/>
    </row>
    <row r="126">
      <c r="A126" s="48" t="inlineStr">
        <is>
          <t>DH-0125</t>
        </is>
      </c>
      <c r="B126" s="48" t="n"/>
      <c r="C126" s="48" t="n"/>
      <c r="D126" s="48" t="n"/>
      <c r="E126" s="48" t="n"/>
      <c r="F126" s="53" t="n"/>
      <c r="G126" s="53" t="n"/>
      <c r="H126" s="52">
        <f>MAX(F126-G126,0)</f>
        <v/>
      </c>
      <c r="I126" s="48" t="n"/>
      <c r="J126" s="48" t="n"/>
      <c r="K126" s="48" t="n"/>
      <c r="L126" s="48" t="n"/>
      <c r="M126" s="53" t="n"/>
    </row>
    <row r="127">
      <c r="A127" s="48" t="inlineStr">
        <is>
          <t>DH-0126</t>
        </is>
      </c>
      <c r="B127" s="48" t="n"/>
      <c r="C127" s="48" t="n"/>
      <c r="D127" s="48" t="n"/>
      <c r="E127" s="48" t="n"/>
      <c r="F127" s="53" t="n"/>
      <c r="G127" s="53" t="n"/>
      <c r="H127" s="52">
        <f>MAX(F127-G127,0)</f>
        <v/>
      </c>
      <c r="I127" s="48" t="n"/>
      <c r="J127" s="48" t="n"/>
      <c r="K127" s="48" t="n"/>
      <c r="L127" s="48" t="n"/>
      <c r="M127" s="53" t="n"/>
    </row>
    <row r="128">
      <c r="A128" s="48" t="inlineStr">
        <is>
          <t>DH-0127</t>
        </is>
      </c>
      <c r="B128" s="48" t="n"/>
      <c r="C128" s="48" t="n"/>
      <c r="D128" s="48" t="n"/>
      <c r="E128" s="48" t="n"/>
      <c r="F128" s="53" t="n"/>
      <c r="G128" s="53" t="n"/>
      <c r="H128" s="52">
        <f>MAX(F128-G128,0)</f>
        <v/>
      </c>
      <c r="I128" s="48" t="n"/>
      <c r="J128" s="48" t="n"/>
      <c r="K128" s="48" t="n"/>
      <c r="L128" s="48" t="n"/>
      <c r="M128" s="53" t="n"/>
    </row>
    <row r="129">
      <c r="A129" s="48" t="inlineStr">
        <is>
          <t>DH-0128</t>
        </is>
      </c>
      <c r="B129" s="48" t="n"/>
      <c r="C129" s="48" t="n"/>
      <c r="D129" s="48" t="n"/>
      <c r="E129" s="48" t="n"/>
      <c r="F129" s="53" t="n"/>
      <c r="G129" s="53" t="n"/>
      <c r="H129" s="52">
        <f>MAX(F129-G129,0)</f>
        <v/>
      </c>
      <c r="I129" s="48" t="n"/>
      <c r="J129" s="48" t="n"/>
      <c r="K129" s="48" t="n"/>
      <c r="L129" s="48" t="n"/>
      <c r="M129" s="53" t="n"/>
    </row>
    <row r="130">
      <c r="A130" s="48" t="inlineStr">
        <is>
          <t>DH-0129</t>
        </is>
      </c>
      <c r="B130" s="48" t="n"/>
      <c r="C130" s="48" t="n"/>
      <c r="D130" s="48" t="n"/>
      <c r="E130" s="48" t="n"/>
      <c r="F130" s="53" t="n"/>
      <c r="G130" s="53" t="n"/>
      <c r="H130" s="52">
        <f>MAX(F130-G130,0)</f>
        <v/>
      </c>
      <c r="I130" s="48" t="n"/>
      <c r="J130" s="48" t="n"/>
      <c r="K130" s="48" t="n"/>
      <c r="L130" s="48" t="n"/>
      <c r="M130" s="53" t="n"/>
    </row>
    <row r="131">
      <c r="A131" s="48" t="inlineStr">
        <is>
          <t>DH-0130</t>
        </is>
      </c>
      <c r="B131" s="48" t="n"/>
      <c r="C131" s="48" t="n"/>
      <c r="D131" s="48" t="n"/>
      <c r="E131" s="48" t="n"/>
      <c r="F131" s="53" t="n"/>
      <c r="G131" s="53" t="n"/>
      <c r="H131" s="52">
        <f>MAX(F131-G131,0)</f>
        <v/>
      </c>
      <c r="I131" s="48" t="n"/>
      <c r="J131" s="48" t="n"/>
      <c r="K131" s="48" t="n"/>
      <c r="L131" s="48" t="n"/>
      <c r="M131" s="53" t="n"/>
    </row>
    <row r="132">
      <c r="A132" s="48" t="inlineStr">
        <is>
          <t>DH-0131</t>
        </is>
      </c>
      <c r="B132" s="48" t="n"/>
      <c r="C132" s="48" t="n"/>
      <c r="D132" s="48" t="n"/>
      <c r="E132" s="48" t="n"/>
      <c r="F132" s="53" t="n"/>
      <c r="G132" s="53" t="n"/>
      <c r="H132" s="52">
        <f>MAX(F132-G132,0)</f>
        <v/>
      </c>
      <c r="I132" s="48" t="n"/>
      <c r="J132" s="48" t="n"/>
      <c r="K132" s="48" t="n"/>
      <c r="L132" s="48" t="n"/>
      <c r="M132" s="53" t="n"/>
    </row>
    <row r="133">
      <c r="A133" s="48" t="inlineStr">
        <is>
          <t>DH-0132</t>
        </is>
      </c>
      <c r="B133" s="48" t="n"/>
      <c r="C133" s="48" t="n"/>
      <c r="D133" s="48" t="n"/>
      <c r="E133" s="48" t="n"/>
      <c r="F133" s="53" t="n"/>
      <c r="G133" s="53" t="n"/>
      <c r="H133" s="52">
        <f>MAX(F133-G133,0)</f>
        <v/>
      </c>
      <c r="I133" s="48" t="n"/>
      <c r="J133" s="48" t="n"/>
      <c r="K133" s="48" t="n"/>
      <c r="L133" s="48" t="n"/>
      <c r="M133" s="53" t="n"/>
    </row>
    <row r="134">
      <c r="A134" s="48" t="inlineStr">
        <is>
          <t>DH-0133</t>
        </is>
      </c>
      <c r="B134" s="48" t="n"/>
      <c r="C134" s="48" t="n"/>
      <c r="D134" s="48" t="n"/>
      <c r="E134" s="48" t="n"/>
      <c r="F134" s="53" t="n"/>
      <c r="G134" s="53" t="n"/>
      <c r="H134" s="52">
        <f>MAX(F134-G134,0)</f>
        <v/>
      </c>
      <c r="I134" s="48" t="n"/>
      <c r="J134" s="48" t="n"/>
      <c r="K134" s="48" t="n"/>
      <c r="L134" s="48" t="n"/>
      <c r="M134" s="53" t="n"/>
    </row>
    <row r="135">
      <c r="A135" s="48" t="inlineStr">
        <is>
          <t>DH-0134</t>
        </is>
      </c>
      <c r="B135" s="48" t="n"/>
      <c r="C135" s="48" t="n"/>
      <c r="D135" s="48" t="n"/>
      <c r="E135" s="48" t="n"/>
      <c r="F135" s="53" t="n"/>
      <c r="G135" s="53" t="n"/>
      <c r="H135" s="52">
        <f>MAX(F135-G135,0)</f>
        <v/>
      </c>
      <c r="I135" s="48" t="n"/>
      <c r="J135" s="48" t="n"/>
      <c r="K135" s="48" t="n"/>
      <c r="L135" s="48" t="n"/>
      <c r="M135" s="53" t="n"/>
    </row>
    <row r="136">
      <c r="A136" s="48" t="inlineStr">
        <is>
          <t>DH-0135</t>
        </is>
      </c>
      <c r="B136" s="48" t="n"/>
      <c r="C136" s="48" t="n"/>
      <c r="D136" s="48" t="n"/>
      <c r="E136" s="48" t="n"/>
      <c r="F136" s="53" t="n"/>
      <c r="G136" s="53" t="n"/>
      <c r="H136" s="52">
        <f>MAX(F136-G136,0)</f>
        <v/>
      </c>
      <c r="I136" s="48" t="n"/>
      <c r="J136" s="48" t="n"/>
      <c r="K136" s="48" t="n"/>
      <c r="L136" s="48" t="n"/>
      <c r="M136" s="53" t="n"/>
    </row>
    <row r="137">
      <c r="A137" s="48" t="inlineStr">
        <is>
          <t>DH-0136</t>
        </is>
      </c>
      <c r="B137" s="48" t="n"/>
      <c r="C137" s="48" t="n"/>
      <c r="D137" s="48" t="n"/>
      <c r="E137" s="48" t="n"/>
      <c r="F137" s="53" t="n"/>
      <c r="G137" s="53" t="n"/>
      <c r="H137" s="52">
        <f>MAX(F137-G137,0)</f>
        <v/>
      </c>
      <c r="I137" s="48" t="n"/>
      <c r="J137" s="48" t="n"/>
      <c r="K137" s="48" t="n"/>
      <c r="L137" s="48" t="n"/>
      <c r="M137" s="53" t="n"/>
    </row>
    <row r="138">
      <c r="A138" s="48" t="inlineStr">
        <is>
          <t>DH-0137</t>
        </is>
      </c>
      <c r="B138" s="48" t="n"/>
      <c r="C138" s="48" t="n"/>
      <c r="D138" s="48" t="n"/>
      <c r="E138" s="48" t="n"/>
      <c r="F138" s="53" t="n"/>
      <c r="G138" s="53" t="n"/>
      <c r="H138" s="52">
        <f>MAX(F138-G138,0)</f>
        <v/>
      </c>
      <c r="I138" s="48" t="n"/>
      <c r="J138" s="48" t="n"/>
      <c r="K138" s="48" t="n"/>
      <c r="L138" s="48" t="n"/>
      <c r="M138" s="53" t="n"/>
    </row>
    <row r="139">
      <c r="A139" s="48" t="inlineStr">
        <is>
          <t>DH-0138</t>
        </is>
      </c>
      <c r="B139" s="48" t="n"/>
      <c r="C139" s="48" t="n"/>
      <c r="D139" s="48" t="n"/>
      <c r="E139" s="48" t="n"/>
      <c r="F139" s="53" t="n"/>
      <c r="G139" s="53" t="n"/>
      <c r="H139" s="52">
        <f>MAX(F139-G139,0)</f>
        <v/>
      </c>
      <c r="I139" s="48" t="n"/>
      <c r="J139" s="48" t="n"/>
      <c r="K139" s="48" t="n"/>
      <c r="L139" s="48" t="n"/>
      <c r="M139" s="53" t="n"/>
    </row>
  </sheetData>
  <autoFilter ref="A1:K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24" customWidth="1" style="46" min="1" max="1"/>
    <col width="78" customWidth="1" style="46" min="2" max="2"/>
    <col width="16" customWidth="1" style="46" min="3" max="3"/>
    <col width="28" customWidth="1" style="46" min="4" max="4"/>
  </cols>
  <sheetData>
    <row r="1" ht="28" customHeight="1" s="46">
      <c r="A1" s="54" t="inlineStr">
        <is>
          <t>Tên đối tác</t>
        </is>
      </c>
      <c r="B1" s="54" t="inlineStr">
        <is>
          <t>Vai trò</t>
        </is>
      </c>
      <c r="C1" s="54" t="inlineStr">
        <is>
          <t>Số điện thoại</t>
        </is>
      </c>
      <c r="D1" s="54" t="inlineStr">
        <is>
          <t>Trạng thái/Ghi chú</t>
        </is>
      </c>
    </row>
    <row r="2">
      <c r="A2" s="48" t="inlineStr">
        <is>
          <t>Long</t>
        </is>
      </c>
      <c r="B2" s="48" t="inlineStr">
        <is>
          <t>Đối tác công nợ chính hiện tại</t>
        </is>
      </c>
      <c r="C2" s="48" t="inlineStr"/>
      <c r="D2" s="48" t="inlineStr">
        <is>
          <t>Đang theo dõi</t>
        </is>
      </c>
    </row>
    <row r="3">
      <c r="A3" s="48" t="inlineStr">
        <is>
          <t>Shopee</t>
        </is>
      </c>
      <c r="B3" s="48" t="inlineStr">
        <is>
          <t>Nguồn mua hộ qua Long trong dữ liệu cũ; chỉ tính công nợ riêng nếu Minh Hồng tự mua trực tiếp</t>
        </is>
      </c>
      <c r="C3" s="48" t="inlineStr"/>
      <c r="D3" s="48" t="inlineStr">
        <is>
          <t>Nguồn tham khảo/mở rộng sau</t>
        </is>
      </c>
    </row>
    <row r="4">
      <c r="A4" s="48" t="inlineStr">
        <is>
          <t>Trần Viết Cường</t>
        </is>
      </c>
      <c r="B4" s="48" t="inlineStr">
        <is>
          <t>Nguồn mua hộ qua Long trong dữ liệu cũ; chỉ tính công nợ riêng nếu Minh Hồng tự mua trực tiếp</t>
        </is>
      </c>
      <c r="C4" s="48" t="inlineStr"/>
      <c r="D4" s="48" t="inlineStr">
        <is>
          <t>Nguồn tham khảo/mở rộng sau</t>
        </is>
      </c>
    </row>
    <row r="5">
      <c r="A5" s="48" t="inlineStr">
        <is>
          <t>a Tâm</t>
        </is>
      </c>
      <c r="B5" s="48" t="inlineStr">
        <is>
          <t>Nguồn mua hộ qua Long trong dữ liệu cũ; chỉ tính công nợ riêng nếu Minh Hồng tự mua trực tiếp</t>
        </is>
      </c>
      <c r="C5" s="48" t="inlineStr"/>
      <c r="D5" s="48" t="inlineStr">
        <is>
          <t>Nguồn tham khảo/mở rộng sau</t>
        </is>
      </c>
    </row>
    <row r="6">
      <c r="A6" s="48" t="inlineStr">
        <is>
          <t>Điện tử Lào Cai</t>
        </is>
      </c>
      <c r="B6" s="48" t="inlineStr">
        <is>
          <t>Nguồn mua hộ qua Long trong dữ liệu cũ; chỉ tính công nợ riêng nếu Minh Hồng tự mua trực tiếp</t>
        </is>
      </c>
      <c r="C6" s="48" t="inlineStr"/>
      <c r="D6" s="48" t="inlineStr">
        <is>
          <t>Nguồn tham khảo/mở rộng sau</t>
        </is>
      </c>
    </row>
    <row r="7">
      <c r="A7" s="48" t="inlineStr">
        <is>
          <t>Dương Mạnh Ninh</t>
        </is>
      </c>
      <c r="B7" s="48" t="inlineStr">
        <is>
          <t>Nguồn mua hộ qua Long trong dữ liệu cũ; chỉ tính công nợ riêng nếu Minh Hồng tự mua trực tiếp</t>
        </is>
      </c>
      <c r="C7" s="48" t="inlineStr"/>
      <c r="D7" s="48" t="inlineStr">
        <is>
          <t>Nguồn tham khảo/mở rộng sau</t>
        </is>
      </c>
    </row>
    <row r="8">
      <c r="A8" s="48" t="inlineStr">
        <is>
          <t>Nguyễn Thành</t>
        </is>
      </c>
      <c r="B8" s="48" t="inlineStr">
        <is>
          <t>Nguồn mua hộ qua Long trong dữ liệu cũ; chỉ tính công nợ riêng nếu Minh Hồng tự mua trực tiếp</t>
        </is>
      </c>
      <c r="C8" s="48" t="inlineStr"/>
      <c r="D8" s="48" t="inlineStr">
        <is>
          <t>Nguồn tham khảo/mở rộng sau</t>
        </is>
      </c>
    </row>
    <row r="9">
      <c r="A9" s="48" t="inlineStr">
        <is>
          <t>Hiếu LK</t>
        </is>
      </c>
      <c r="B9" s="48" t="inlineStr">
        <is>
          <t>Nguồn mua hộ qua Long trong dữ liệu cũ; chỉ tính công nợ riêng nếu Minh Hồng tự mua trực tiếp</t>
        </is>
      </c>
      <c r="C9" s="48" t="inlineStr"/>
      <c r="D9" s="48" t="inlineStr">
        <is>
          <t>Nguồn tham khảo/mở rộng sau</t>
        </is>
      </c>
    </row>
    <row r="10">
      <c r="A10" s="48" t="inlineStr">
        <is>
          <t>Tuấn Mạnh AZ</t>
        </is>
      </c>
      <c r="B10" s="48" t="inlineStr">
        <is>
          <t>Nguồn mua hộ qua Long trong dữ liệu cũ; chỉ tính công nợ riêng nếu Minh Hồng tự mua trực tiếp</t>
        </is>
      </c>
      <c r="C10" s="48" t="inlineStr"/>
      <c r="D10" s="48" t="inlineStr">
        <is>
          <t>Nguồn tham khảo/mở rộng sau</t>
        </is>
      </c>
    </row>
    <row r="11">
      <c r="A11" s="48" t="inlineStr">
        <is>
          <t>Khác</t>
        </is>
      </c>
      <c r="B11" s="48" t="inlineStr">
        <is>
          <t>Dùng tạm khi chưa biết tên đối tác</t>
        </is>
      </c>
      <c r="C11" s="48" t="inlineStr"/>
      <c r="D11" s="48" t="inlineStr">
        <is>
          <t>Tùy dùng</t>
        </is>
      </c>
    </row>
  </sheetData>
  <autoFilter ref="A1:D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18" customWidth="1" style="46" min="1" max="1"/>
    <col width="82" customWidth="1" style="46" min="2" max="2"/>
    <col width="86" customWidth="1" style="46" min="3" max="3"/>
  </cols>
  <sheetData>
    <row r="1" ht="28" customHeight="1" s="46">
      <c r="A1" s="54" t="inlineStr">
        <is>
          <t>Mức</t>
        </is>
      </c>
      <c r="B1" s="54" t="inlineStr">
        <is>
          <t>Vấn đề</t>
        </is>
      </c>
      <c r="C1" s="54" t="inlineStr">
        <is>
          <t>Cách xử lý đề xuất</t>
        </is>
      </c>
    </row>
    <row r="2">
      <c r="A2" s="48" t="inlineStr">
        <is>
          <t>Đã xác nhận</t>
        </is>
      </c>
      <c r="B2" s="48" t="inlineStr">
        <is>
          <t>Ghi chú 50tr trước đây là nhầm; số đúng tại thời điểm đó là 45.000.000.</t>
        </is>
      </c>
      <c r="C2" s="48" t="inlineStr">
        <is>
          <t>Workbook mới giữ 45.000.000 trong lịch sử thanh toán cũ, nhưng không cộng đôi vì đã gộp vào số dư chốt 07/05/2026.</t>
        </is>
      </c>
    </row>
    <row r="3">
      <c r="A3" s="48" t="inlineStr">
        <is>
          <t>Đã xử lý</t>
        </is>
      </c>
      <c r="B3" s="48" t="inlineStr">
        <is>
          <t>Phát sinh 300cell eve 25p được sửa từ 7.500.000đ xuống 7.490.000đ theo tổng chốt, nên số còn nợ Long khớp 12.720.000đ.</t>
        </is>
      </c>
      <c r="C3" s="48" t="inlineStr">
        <is>
          <t>Không cần dòng điều chỉnh tạm; nếu sheet nguồn còn ghi 7.500.000đ thì workbook copy dùng số đã sửa để tính công nợ.</t>
        </is>
      </c>
    </row>
    <row r="4">
      <c r="A4" s="48" t="inlineStr">
        <is>
          <t>Quy tắc mới</t>
        </is>
      </c>
      <c r="B4" s="48" t="inlineStr">
        <is>
          <t>Shopee, Điện tử Lào Cai và các tên nguồn cũ là nơi Long mua hộ, không phải công nợ riêng của Minh Hồng tại thời điểm cũ.</t>
        </is>
      </c>
      <c r="C4" s="48" t="inlineStr">
        <is>
          <t>Tab Đối tác vẫn giữ các tên này như nguồn tham khảo/mở rộng sau; công nợ cũ mặc định vẫn thuộc Long.</t>
        </is>
      </c>
    </row>
    <row r="5">
      <c r="A5" s="48" t="inlineStr">
        <is>
          <t>Đối chiếu</t>
        </is>
      </c>
      <c r="B5" s="48" t="inlineStr">
        <is>
          <t>Workbook có cột Theo thô cùng mốc và Chênh chốt - thô cùng mốc để so sánh đúng thời điểm.</t>
        </is>
      </c>
      <c r="C5" s="48" t="inlineStr">
        <is>
          <t>Số 19.945.500đ là còn nợ thô trước 08/05; số chính thức sau này vẫn theo số dư chốt 07/05/2026.</t>
        </is>
      </c>
    </row>
    <row r="6">
      <c r="A6" s="48" t="inlineStr">
        <is>
          <t>Dữ liệu chốt</t>
        </is>
      </c>
      <c r="B6" s="48" t="inlineStr">
        <is>
          <t>Số dư chốt Long đến 07/05/2026 được ưu tiên hơn việc cộng lại toàn bộ dòng thô cũ.</t>
        </is>
      </c>
      <c r="C6" s="48" t="inlineStr">
        <is>
          <t>Các dòng cũ trong Nhập hàng/Thanh toán/Trả hàng có Tính công nợ = Không để tránh cộng đôi.</t>
        </is>
      </c>
    </row>
    <row r="7">
      <c r="A7" s="48" t="inlineStr">
        <is>
          <t>Đơn khách</t>
        </is>
      </c>
      <c r="B7" s="48" t="inlineStr">
        <is>
          <t>Một số đơn bán cũ thiếu số tiền bán/đã trả vì bị quên giá, nhưng vẫn là đơn có thật.</t>
        </is>
      </c>
      <c r="C7" s="48" t="inlineStr">
        <is>
          <t>Workbook vẫn giữ các dòng này trong tab Đơn khách với Trạng thái dữ liệu = Quên giá để quản lý lịch sử đơn và số lượng pin bán ra.</t>
        </is>
      </c>
    </row>
    <row r="8">
      <c r="A8" s="48" t="inlineStr">
        <is>
          <t>Bổ sung</t>
        </is>
      </c>
      <c r="B8" s="48" t="inlineStr">
        <is>
          <t>Tab Đơn khách đã thêm tổng tiền, tổng đã thu, nợ còn ở cột L:M để nhìn nhanh như sheet cũ.</t>
        </is>
      </c>
      <c r="C8" s="48" t="inlineStr">
        <is>
          <t>Khi mở bằng Excel/Google Sheets, công thức tổng sẽ tự tính lại.</t>
        </is>
      </c>
    </row>
  </sheetData>
  <autoFilter ref="A1:C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ColWidth="14.43" defaultRowHeight="15" customHeight="1"/>
  <cols>
    <col width="16.29" customWidth="1" style="46" min="1" max="1"/>
    <col width="36.71" customWidth="1" style="46" min="2" max="2"/>
    <col width="8" customWidth="1" style="46" min="3" max="3"/>
    <col width="36.71" customWidth="1" style="46" min="4" max="4"/>
    <col width="14.43" customWidth="1" style="46" min="5" max="5"/>
    <col width="11" customWidth="1" style="46" min="6" max="6"/>
    <col width="20.71" customWidth="1" style="46" min="7" max="7"/>
    <col width="29.43" customWidth="1" style="46" min="8" max="8"/>
    <col width="17.14" customWidth="1" style="46" min="9" max="9"/>
    <col width="32.14" customWidth="1" style="46" min="10" max="10"/>
  </cols>
  <sheetData>
    <row r="1" ht="26.25" customHeight="1" s="46">
      <c r="C1" s="1" t="inlineStr">
        <is>
          <t>THỐNG KÊ THU CHI VẬT TƯ- DỤNG CỤ - ĐỒ NGHỀ</t>
        </is>
      </c>
      <c r="D1" s="22" t="n"/>
      <c r="E1" s="23" t="inlineStr">
        <is>
          <t>@</t>
        </is>
      </c>
      <c r="J1" s="4" t="inlineStr">
        <is>
          <t xml:space="preserve">HỒNG CHUYỂN  KHOẢN </t>
        </is>
      </c>
    </row>
    <row r="2">
      <c r="A2" s="23" t="inlineStr">
        <is>
          <t>Ngày/tháng/năm</t>
        </is>
      </c>
      <c r="B2" s="23" t="inlineStr">
        <is>
          <t>TÊN</t>
        </is>
      </c>
      <c r="C2" s="23" t="inlineStr">
        <is>
          <t>SL</t>
        </is>
      </c>
      <c r="D2" s="23" t="inlineStr">
        <is>
          <t xml:space="preserve">ĐƠN GIÁ </t>
        </is>
      </c>
      <c r="G2" s="23" t="inlineStr">
        <is>
          <t>THÀNH  TIỀN</t>
        </is>
      </c>
      <c r="H2" s="22" t="inlineStr">
        <is>
          <t>GHI CHÚ</t>
        </is>
      </c>
      <c r="I2" s="23" t="inlineStr">
        <is>
          <t>Người bán</t>
        </is>
      </c>
      <c r="J2" s="4" t="inlineStr">
        <is>
          <t>TỪ NGÀY RA ĐẾN 24/09/2025</t>
        </is>
      </c>
    </row>
    <row r="3">
      <c r="G3" s="6" t="n"/>
      <c r="J3" s="4" t="inlineStr">
        <is>
          <t>TỔNG CỘNG.43.000.000</t>
        </is>
      </c>
    </row>
    <row r="4">
      <c r="A4" s="6" t="n">
        <v>1</v>
      </c>
      <c r="B4" s="23" t="inlineStr">
        <is>
          <t xml:space="preserve">40 Khay cân 21700 </t>
        </is>
      </c>
      <c r="C4" s="23" t="n">
        <v>40</v>
      </c>
      <c r="D4" s="7" t="n"/>
      <c r="E4" s="8" t="n"/>
      <c r="G4" s="9" t="n">
        <v>637700</v>
      </c>
      <c r="H4" s="23" t="inlineStr">
        <is>
          <t>SHOPEE (xem trong nhóm)</t>
        </is>
      </c>
      <c r="J4" s="4" t="inlineStr">
        <is>
          <t>2/3/2026.ck 2000000</t>
        </is>
      </c>
    </row>
    <row r="5">
      <c r="A5" s="6" t="n">
        <v>2</v>
      </c>
      <c r="B5" s="23" t="inlineStr">
        <is>
          <t>50 Vôn kế bảng sạc đỏ + vàng</t>
        </is>
      </c>
      <c r="C5" s="23" t="n">
        <v>50</v>
      </c>
      <c r="D5" s="11" t="n"/>
      <c r="G5" s="9" t="n">
        <v>595300</v>
      </c>
      <c r="H5" s="23" t="inlineStr">
        <is>
          <t>SHOPEE (xem trong nhóm)</t>
        </is>
      </c>
    </row>
    <row r="6">
      <c r="A6" s="6" t="n">
        <v>3</v>
      </c>
      <c r="B6" s="23" t="inlineStr">
        <is>
          <t>Khay Cân bằng Hoàng Long</t>
        </is>
      </c>
      <c r="D6" s="11" t="n"/>
      <c r="G6" s="9" t="n">
        <v>5090000</v>
      </c>
      <c r="H6" s="23" t="inlineStr">
        <is>
          <t>Hóa đơn trong nhóm</t>
        </is>
      </c>
    </row>
    <row r="7">
      <c r="A7" s="6" t="n">
        <v>4</v>
      </c>
      <c r="B7" s="23" t="inlineStr">
        <is>
          <t>Công tắc Led (2 đợt)</t>
        </is>
      </c>
      <c r="C7" s="23" t="n">
        <v>16</v>
      </c>
      <c r="D7" s="7" t="n">
        <v>20000</v>
      </c>
      <c r="G7" s="9" t="n">
        <v>320000</v>
      </c>
      <c r="H7" s="23" t="inlineStr">
        <is>
          <t>Hóa đơn trong nhóm</t>
        </is>
      </c>
    </row>
    <row r="8">
      <c r="A8" s="6" t="n">
        <v>5</v>
      </c>
      <c r="B8" s="23" t="inlineStr">
        <is>
          <t>Cắt ván + dán chỉ (chỗ Hựu)</t>
        </is>
      </c>
      <c r="D8" s="11" t="n"/>
      <c r="G8" s="9" t="n">
        <v>300000</v>
      </c>
      <c r="H8" s="23" t="inlineStr">
        <is>
          <t>Hóa đơn trong nhóm</t>
        </is>
      </c>
    </row>
    <row r="9">
      <c r="A9" s="6" t="n">
        <v>6</v>
      </c>
      <c r="B9" s="23" t="inlineStr">
        <is>
          <t xml:space="preserve">Nguồn 5V cũ </t>
        </is>
      </c>
      <c r="C9" s="23" t="n">
        <v>2</v>
      </c>
      <c r="D9" s="7" t="n">
        <v>80000</v>
      </c>
      <c r="G9" s="9" t="n">
        <v>160000</v>
      </c>
      <c r="H9" s="23" t="inlineStr">
        <is>
          <t>Hóa đơn trong nhóm</t>
        </is>
      </c>
    </row>
    <row r="10">
      <c r="A10" s="6" t="n">
        <v>7</v>
      </c>
      <c r="B10" s="23" t="inlineStr">
        <is>
          <t>Nguồn 5V 60A new tốt</t>
        </is>
      </c>
      <c r="C10" s="23" t="n">
        <v>2</v>
      </c>
      <c r="D10" s="7" t="n">
        <v>235000</v>
      </c>
      <c r="G10" s="9" t="n">
        <v>470000</v>
      </c>
      <c r="H10" s="23" t="inlineStr">
        <is>
          <t>Hóa đơn trong nhóm</t>
        </is>
      </c>
    </row>
    <row r="11">
      <c r="A11" s="6" t="n">
        <v>8</v>
      </c>
      <c r="B11" s="23" t="inlineStr">
        <is>
          <t>Linh kiện - Vật tư nhập về làm</t>
        </is>
      </c>
      <c r="D11" s="11" t="n"/>
      <c r="G11" s="9" t="n">
        <v>3352000</v>
      </c>
      <c r="H11" s="23" t="inlineStr">
        <is>
          <t>Hóa đơn trong nhóm (ngày 4/9)</t>
        </is>
      </c>
    </row>
    <row r="12">
      <c r="A12" s="6" t="n">
        <v>9</v>
      </c>
      <c r="B12" s="23" t="inlineStr">
        <is>
          <t>Máy test nội trở + đế + que đo</t>
        </is>
      </c>
      <c r="D12" s="11" t="n"/>
      <c r="G12" s="9" t="n">
        <v>800000</v>
      </c>
      <c r="H12" s="23" t="inlineStr">
        <is>
          <t>Hóa đơn trong nhóm</t>
        </is>
      </c>
      <c r="I12" s="23" t="inlineStr">
        <is>
          <t xml:space="preserve">Trần Viết Cường </t>
        </is>
      </c>
    </row>
    <row r="13">
      <c r="A13" s="6" t="n">
        <v>10</v>
      </c>
      <c r="B13" s="23" t="inlineStr">
        <is>
          <t>Máy hàn cell pin</t>
        </is>
      </c>
      <c r="C13" s="23" t="n">
        <v>1</v>
      </c>
      <c r="D13" s="11" t="n">
        <v>1</v>
      </c>
      <c r="G13" s="9" t="n">
        <v>8500000</v>
      </c>
      <c r="H13" s="23" t="inlineStr">
        <is>
          <t>Đã tạm ứng 7,000,000</t>
        </is>
      </c>
      <c r="I13" s="23" t="inlineStr">
        <is>
          <t>a Tâm</t>
        </is>
      </c>
    </row>
    <row r="14">
      <c r="A14" s="6" t="n">
        <v>11</v>
      </c>
      <c r="B14" s="23" t="inlineStr">
        <is>
          <t>Máy  gọt cell pin</t>
        </is>
      </c>
      <c r="C14" s="23" t="n">
        <v>1</v>
      </c>
      <c r="D14" s="11" t="n"/>
      <c r="G14" s="9" t="n">
        <v>2200000</v>
      </c>
      <c r="I14" s="23" t="inlineStr">
        <is>
          <t>a Tâm</t>
        </is>
      </c>
    </row>
    <row r="15">
      <c r="A15" s="6" t="n">
        <v>12</v>
      </c>
      <c r="B15" s="23" t="inlineStr">
        <is>
          <t>Bộ test công suất + chống chập</t>
        </is>
      </c>
      <c r="C15" s="23" t="n">
        <v>1</v>
      </c>
      <c r="D15" s="11" t="n"/>
      <c r="G15" s="9" t="n">
        <v>500000</v>
      </c>
      <c r="I15" s="23" t="inlineStr">
        <is>
          <t>Điện tử Lào Cai</t>
        </is>
      </c>
    </row>
    <row r="16">
      <c r="A16" s="6" t="n">
        <v>13</v>
      </c>
      <c r="B16" s="23" t="inlineStr">
        <is>
          <t>Máy cấp nguồn 120V 25A</t>
        </is>
      </c>
      <c r="C16" s="23" t="n">
        <v>1</v>
      </c>
      <c r="D16" s="11" t="n"/>
      <c r="G16" s="9" t="n">
        <v>2800000</v>
      </c>
      <c r="I16" s="23" t="inlineStr">
        <is>
          <t>Dương Mạnh Ninh</t>
        </is>
      </c>
    </row>
    <row r="17">
      <c r="A17" s="6" t="n">
        <v>14</v>
      </c>
      <c r="B17" s="23" t="inlineStr">
        <is>
          <t>Bảng sạc pin</t>
        </is>
      </c>
      <c r="C17" s="23" t="n">
        <v>1</v>
      </c>
      <c r="D17" s="11" t="n"/>
      <c r="G17" s="9" t="n">
        <v>3200000</v>
      </c>
      <c r="H17" s="23" t="inlineStr">
        <is>
          <t>combo 5 bảng+tiền tk+VAT+ ship</t>
        </is>
      </c>
      <c r="I17" s="23" t="inlineStr">
        <is>
          <t>Nguyễn Thành</t>
        </is>
      </c>
    </row>
    <row r="18">
      <c r="A18" s="6" t="n">
        <v>15</v>
      </c>
      <c r="B18" s="23" t="inlineStr">
        <is>
          <t>Mạch test dung lượng + trở sứ</t>
        </is>
      </c>
      <c r="C18" s="23" t="n">
        <v>25</v>
      </c>
      <c r="D18" s="11" t="n"/>
      <c r="G18" s="9" t="n">
        <v>812500</v>
      </c>
      <c r="H18" s="23" t="inlineStr">
        <is>
          <t>SHOPEE (xem trong nhóm)</t>
        </is>
      </c>
    </row>
    <row r="19">
      <c r="A19" s="6" t="n">
        <v>16</v>
      </c>
      <c r="B19" s="23" t="inlineStr">
        <is>
          <t>Mạch test dung lượng + trở sứ</t>
        </is>
      </c>
      <c r="C19" s="23" t="n">
        <v>20</v>
      </c>
      <c r="D19" s="11" t="n"/>
      <c r="G19" s="9" t="n">
        <v>653000</v>
      </c>
      <c r="H19" s="23" t="inlineStr">
        <is>
          <t>SHOPEE (xem trong nhóm)</t>
        </is>
      </c>
    </row>
    <row r="20">
      <c r="A20" s="6" t="n">
        <v>17</v>
      </c>
      <c r="B20" s="23" t="inlineStr">
        <is>
          <t>Máy mài MKT TQ</t>
        </is>
      </c>
      <c r="C20" s="23" t="n">
        <v>1</v>
      </c>
      <c r="D20" s="11" t="n"/>
      <c r="G20" s="9" t="n">
        <v>350000</v>
      </c>
      <c r="H20" s="23" t="inlineStr">
        <is>
          <t>xe Thanh đem về</t>
        </is>
      </c>
    </row>
    <row r="21" ht="15.75" customHeight="1" s="46">
      <c r="A21" s="6" t="n">
        <v>18</v>
      </c>
      <c r="B21" s="23" t="inlineStr">
        <is>
          <t>Khoan 3CN starker 10mm đỏ</t>
        </is>
      </c>
      <c r="C21" s="23" t="n">
        <v>1</v>
      </c>
      <c r="D21" s="11" t="n"/>
      <c r="G21" s="9" t="n">
        <v>260000</v>
      </c>
      <c r="H21" s="23" t="inlineStr">
        <is>
          <t>xe Thanh đem về</t>
        </is>
      </c>
    </row>
    <row r="22" ht="15.75" customHeight="1" s="46">
      <c r="A22" s="6" t="n">
        <v>19</v>
      </c>
      <c r="B22" s="23" t="inlineStr">
        <is>
          <t>Bulong mkt TQ xám</t>
        </is>
      </c>
      <c r="C22" s="23" t="n">
        <v>1</v>
      </c>
      <c r="D22" s="11" t="n"/>
      <c r="G22" s="9" t="n">
        <v>240000</v>
      </c>
      <c r="H22" s="23" t="inlineStr">
        <is>
          <t>xe Thanh đem về</t>
        </is>
      </c>
    </row>
    <row r="23" ht="15.75" customHeight="1" s="46">
      <c r="A23" s="6" t="n">
        <v>20</v>
      </c>
      <c r="B23" s="23" t="inlineStr">
        <is>
          <t>Vít 173 tq xanh</t>
        </is>
      </c>
      <c r="C23" s="23" t="n">
        <v>1</v>
      </c>
      <c r="D23" s="11" t="n"/>
      <c r="G23" s="9" t="n">
        <v>420000</v>
      </c>
      <c r="H23" s="23" t="inlineStr">
        <is>
          <t>xe Thanh đem về</t>
        </is>
      </c>
    </row>
    <row r="24" ht="15.75" customHeight="1" s="46">
      <c r="A24" s="6" t="n">
        <v>21</v>
      </c>
      <c r="B24" s="23" t="inlineStr">
        <is>
          <t>Khoan 13mm YMS xanh</t>
        </is>
      </c>
      <c r="C24" s="23" t="n">
        <v>1</v>
      </c>
      <c r="D24" s="11" t="n"/>
      <c r="G24" s="9" t="n">
        <v>800000</v>
      </c>
      <c r="H24" s="23" t="inlineStr">
        <is>
          <t>xe Thanh đem về</t>
        </is>
      </c>
    </row>
    <row r="25" ht="15.75" customHeight="1" s="46">
      <c r="A25" s="6" t="n">
        <v>22</v>
      </c>
      <c r="B25" s="23" t="inlineStr">
        <is>
          <t>Đèn led nhỏ</t>
        </is>
      </c>
      <c r="C25" s="23" t="n">
        <v>1</v>
      </c>
      <c r="D25" s="11" t="n"/>
      <c r="G25" s="9" t="n">
        <v>100000</v>
      </c>
      <c r="H25" s="23" t="inlineStr">
        <is>
          <t>xe Thanh đem về</t>
        </is>
      </c>
    </row>
    <row r="26" ht="15.75" customHeight="1" s="46">
      <c r="A26" s="6" t="n">
        <v>23</v>
      </c>
      <c r="B26" s="23" t="inlineStr">
        <is>
          <t>Quạt  lồg sắt</t>
        </is>
      </c>
      <c r="C26" s="23" t="n">
        <v>1</v>
      </c>
      <c r="D26" s="11" t="n"/>
      <c r="G26" s="9" t="n">
        <v>115000</v>
      </c>
      <c r="H26" s="23" t="inlineStr">
        <is>
          <t>xe Thanh đem về</t>
        </is>
      </c>
    </row>
    <row r="27" ht="15.75" customHeight="1" s="46">
      <c r="A27" s="6" t="n">
        <v>24</v>
      </c>
      <c r="B27" s="23" t="inlineStr">
        <is>
          <t>Kích điện từ pin lên 220v</t>
        </is>
      </c>
      <c r="C27" s="23" t="n">
        <v>1</v>
      </c>
      <c r="D27" s="11" t="n"/>
      <c r="G27" s="9" t="n">
        <v>250000</v>
      </c>
      <c r="H27" s="23" t="inlineStr">
        <is>
          <t>xe Thanh đem về</t>
        </is>
      </c>
    </row>
    <row r="28" ht="15.75" customHeight="1" s="46">
      <c r="B28" s="23" t="inlineStr">
        <is>
          <t>Thiếc hàng nhật 800g 0.8mm</t>
        </is>
      </c>
      <c r="C28" s="23" t="n">
        <v>1</v>
      </c>
      <c r="D28" s="7" t="n">
        <v>580000</v>
      </c>
      <c r="G28" s="9" t="n">
        <v>580000</v>
      </c>
      <c r="H28" s="23" t="inlineStr">
        <is>
          <t>xe Thanh đem về</t>
        </is>
      </c>
      <c r="I28" s="23" t="inlineStr">
        <is>
          <t>Hiếu LK</t>
        </is>
      </c>
    </row>
    <row r="29" ht="15.75" customHeight="1" s="46">
      <c r="A29" s="6" t="n">
        <v>25</v>
      </c>
      <c r="B29" s="23" t="inlineStr">
        <is>
          <t>Bộ hộp pin xe điện (có khung+kẽm)</t>
        </is>
      </c>
      <c r="C29" s="23" t="n">
        <v>1</v>
      </c>
      <c r="D29" s="11" t="n"/>
      <c r="G29" s="9" t="n">
        <v>160000</v>
      </c>
      <c r="H29" s="23" t="inlineStr">
        <is>
          <t>gửi xe Thanh chuyển xe bà Hà</t>
        </is>
      </c>
      <c r="I29" s="23" t="inlineStr">
        <is>
          <t>Tuấn Mạnh AZ</t>
        </is>
      </c>
    </row>
    <row r="30" ht="15.75" customHeight="1" s="46">
      <c r="A30" s="6" t="n">
        <v>26</v>
      </c>
      <c r="B30" s="23" t="inlineStr">
        <is>
          <t>Mạch pin 13/14s 40A</t>
        </is>
      </c>
      <c r="C30" s="23" t="n">
        <v>1</v>
      </c>
      <c r="D30" s="11" t="n"/>
      <c r="G30" s="9" t="n">
        <v>160000</v>
      </c>
      <c r="H30" s="23" t="inlineStr">
        <is>
          <t>gửi xe Thanh chuyển xe bà Hà</t>
        </is>
      </c>
    </row>
    <row r="31" ht="15.75" customHeight="1" s="46">
      <c r="A31" s="6" t="n">
        <v>27</v>
      </c>
      <c r="B31" s="23" t="inlineStr">
        <is>
          <t>Sạc 2s2A rẻ</t>
        </is>
      </c>
      <c r="C31" s="23" t="n">
        <v>2</v>
      </c>
      <c r="D31" s="11" t="n">
        <v>30000</v>
      </c>
      <c r="G31" s="9">
        <f>C31*D31</f>
        <v/>
      </c>
      <c r="H31" s="23" t="inlineStr">
        <is>
          <t>gửi xe Thanh chuyển xe bà Hà</t>
        </is>
      </c>
    </row>
    <row r="32" ht="15.75" customHeight="1" s="46">
      <c r="A32" s="6" t="n">
        <v>28</v>
      </c>
      <c r="B32" s="23" t="inlineStr">
        <is>
          <t>sạc 3s2A rẻ</t>
        </is>
      </c>
      <c r="C32" s="23" t="n">
        <v>2</v>
      </c>
      <c r="D32" s="11" t="n">
        <v>30000</v>
      </c>
      <c r="G32" s="9">
        <f>C32*D32</f>
        <v/>
      </c>
      <c r="H32" s="23" t="inlineStr">
        <is>
          <t>gửi xe Thanh chuyển xe bà Hà</t>
        </is>
      </c>
    </row>
    <row r="33" ht="15.75" customHeight="1" s="46">
      <c r="A33" s="6" t="n">
        <v>29</v>
      </c>
      <c r="B33" s="23" t="inlineStr">
        <is>
          <t>Sạc 3s2A thường</t>
        </is>
      </c>
      <c r="C33" s="23" t="n">
        <v>2</v>
      </c>
      <c r="D33" s="7" t="n">
        <v>55000</v>
      </c>
      <c r="G33" s="9">
        <f>C33*D33</f>
        <v/>
      </c>
      <c r="H33" s="23" t="inlineStr">
        <is>
          <t>gửi xe Thanh chuyển xe bà Hà</t>
        </is>
      </c>
    </row>
    <row r="34" ht="15.75" customHeight="1" s="46">
      <c r="A34" s="6" t="n">
        <v>30</v>
      </c>
      <c r="B34" s="23" t="inlineStr">
        <is>
          <t>Sạc 4s2A thường</t>
        </is>
      </c>
      <c r="C34" s="23" t="n">
        <v>2</v>
      </c>
      <c r="D34" s="7" t="n">
        <v>55000</v>
      </c>
      <c r="G34" s="9">
        <f>C34*D34</f>
        <v/>
      </c>
      <c r="H34" s="23" t="inlineStr">
        <is>
          <t>gửi xe Thanh chuyển xe bà Hà</t>
        </is>
      </c>
    </row>
    <row r="35" ht="15.75" customHeight="1" s="46">
      <c r="B35" s="23" t="inlineStr">
        <is>
          <t>Sạc 5s2A rẻ</t>
        </is>
      </c>
      <c r="C35" s="23" t="n">
        <v>2</v>
      </c>
      <c r="D35" s="7" t="n">
        <v>30000</v>
      </c>
      <c r="G35" s="9">
        <f>C35*D35</f>
        <v/>
      </c>
      <c r="H35" s="23" t="inlineStr">
        <is>
          <t>gửi xe Thanh chuyển xe bà Hà</t>
        </is>
      </c>
    </row>
    <row r="36" ht="15.75" customHeight="1" s="46">
      <c r="B36" s="23" t="inlineStr">
        <is>
          <t>Sạc 5s2A thường</t>
        </is>
      </c>
      <c r="C36" s="23" t="n">
        <v>2</v>
      </c>
      <c r="D36" s="7" t="n">
        <v>55000</v>
      </c>
      <c r="G36" s="9">
        <f>C36*D36</f>
        <v/>
      </c>
      <c r="H36" s="23" t="inlineStr">
        <is>
          <t>gửi xe Thanh chuyển xe bà Hà</t>
        </is>
      </c>
    </row>
    <row r="37" ht="15.75" customHeight="1" s="46">
      <c r="B37" s="23" t="inlineStr">
        <is>
          <t>Sạc 5s3A có quạt</t>
        </is>
      </c>
      <c r="C37" s="23" t="n">
        <v>2</v>
      </c>
      <c r="D37" s="7" t="n">
        <v>110000</v>
      </c>
      <c r="G37" s="9">
        <f>C37*D37</f>
        <v/>
      </c>
      <c r="H37" s="23" t="inlineStr">
        <is>
          <t>gửi xe Thanh chuyển xe bà Hà</t>
        </is>
      </c>
    </row>
    <row r="38" ht="15.75" customHeight="1" s="46">
      <c r="B38" s="23" t="inlineStr">
        <is>
          <t>Jack Xt60</t>
        </is>
      </c>
      <c r="C38" s="23" t="n">
        <v>4</v>
      </c>
      <c r="D38" s="7" t="n">
        <v>3500</v>
      </c>
      <c r="G38" s="9">
        <f>C38*D38</f>
        <v/>
      </c>
      <c r="H38" s="23" t="inlineStr">
        <is>
          <t>gửi xe Thanh chuyển xe bà Hà</t>
        </is>
      </c>
    </row>
    <row r="39" ht="15.75" customHeight="1" s="46">
      <c r="B39" s="23" t="inlineStr">
        <is>
          <t>Đèn NLMT BC 200w</t>
        </is>
      </c>
      <c r="C39" s="23" t="n">
        <v>1</v>
      </c>
      <c r="D39" s="7" t="n"/>
      <c r="G39" s="9" t="n">
        <v>700000</v>
      </c>
      <c r="H39" s="23" t="inlineStr">
        <is>
          <t>gửi xe Thanh chuyển xe bà Hà</t>
        </is>
      </c>
    </row>
    <row r="40" ht="15.75" customHeight="1" s="46">
      <c r="B40" s="23" t="inlineStr">
        <is>
          <t>Đèn NLMT pha 300w</t>
        </is>
      </c>
      <c r="C40" s="23" t="n">
        <v>1</v>
      </c>
      <c r="D40" s="7" t="n"/>
      <c r="G40" s="9" t="n">
        <v>950000</v>
      </c>
      <c r="H40" s="23" t="inlineStr">
        <is>
          <t>gửi xe Thanh chuyển xe bà Hà</t>
        </is>
      </c>
    </row>
    <row r="41" ht="15.75" customHeight="1" s="46">
      <c r="B41" s="23" t="inlineStr">
        <is>
          <t>Đèn NLMT mắt ngọc 300W</t>
        </is>
      </c>
      <c r="C41" s="23" t="n">
        <v>1</v>
      </c>
      <c r="D41" s="7" t="n"/>
      <c r="G41" s="9" t="n">
        <v>950000</v>
      </c>
      <c r="H41" s="23" t="inlineStr">
        <is>
          <t>gửi xe Thanh chuyển xe bà Hà</t>
        </is>
      </c>
    </row>
    <row r="42" ht="15.75" customHeight="1" s="46">
      <c r="B42" s="23" t="inlineStr">
        <is>
          <t>dây AWG 12</t>
        </is>
      </c>
      <c r="C42" s="23" t="n">
        <v>4</v>
      </c>
      <c r="D42" s="12" t="inlineStr">
        <is>
          <t>Mượn</t>
        </is>
      </c>
      <c r="G42" s="6" t="n">
        <v>0</v>
      </c>
      <c r="H42" s="23" t="inlineStr">
        <is>
          <t>gửi xe Thanh chuyển xe bà Hà</t>
        </is>
      </c>
    </row>
    <row r="43" ht="15.75" customHeight="1" s="46">
      <c r="A43" s="13" t="n"/>
      <c r="D43" s="18" t="n"/>
      <c r="G43" s="8" t="n"/>
    </row>
    <row r="44" ht="15.75" customHeight="1" s="46">
      <c r="D44" s="4" t="inlineStr">
        <is>
          <t>Tổng lần 1</t>
        </is>
      </c>
      <c r="G44" s="8">
        <f>SUM(G4:G41)</f>
        <v/>
      </c>
    </row>
    <row r="45" ht="15.75" customHeight="1" s="46">
      <c r="B45" s="23" t="inlineStr">
        <is>
          <t>phím nhỏ</t>
        </is>
      </c>
      <c r="C45" s="23" t="n">
        <v>10</v>
      </c>
      <c r="D45" s="8" t="n">
        <v>36000</v>
      </c>
      <c r="G45" s="8" t="n">
        <v>360000</v>
      </c>
    </row>
    <row r="46" ht="15.75" customHeight="1" s="46">
      <c r="B46" s="23" t="inlineStr">
        <is>
          <t>1/2kg giấy 65mm</t>
        </is>
      </c>
      <c r="G46" s="8" t="n">
        <v>110000</v>
      </c>
    </row>
    <row r="47" ht="15.75" customHeight="1" s="46">
      <c r="B47" s="23" t="inlineStr">
        <is>
          <t>A123</t>
        </is>
      </c>
      <c r="C47" s="23" t="n">
        <v>50</v>
      </c>
      <c r="D47" s="8" t="n">
        <v>23000</v>
      </c>
      <c r="G47" s="8" t="n">
        <v>1150000</v>
      </c>
    </row>
    <row r="48" ht="15.75" customHeight="1" s="46">
      <c r="B48" s="23" t="inlineStr">
        <is>
          <t>mạch 4s 720Alfp new</t>
        </is>
      </c>
      <c r="C48" s="23" t="n">
        <v>3</v>
      </c>
      <c r="D48" s="8" t="n">
        <v>110000</v>
      </c>
      <c r="G48" s="8" t="n">
        <v>330000</v>
      </c>
    </row>
    <row r="49" ht="15.75" customHeight="1" s="46">
      <c r="B49" s="23" t="inlineStr">
        <is>
          <t>Box 13/145full</t>
        </is>
      </c>
      <c r="C49" s="23" t="n">
        <v>4</v>
      </c>
      <c r="D49" s="8" t="n">
        <v>120000</v>
      </c>
      <c r="G49" s="8" t="n">
        <v>480000</v>
      </c>
    </row>
    <row r="50" ht="15.75" customHeight="1" s="46">
      <c r="B50" s="23" t="inlineStr">
        <is>
          <t>mạch 13s20Adaly</t>
        </is>
      </c>
      <c r="C50" s="23" t="n">
        <v>2</v>
      </c>
      <c r="D50" s="8" t="n">
        <v>205000</v>
      </c>
      <c r="G50" s="8" t="n">
        <v>410000</v>
      </c>
    </row>
    <row r="51" ht="15.75" customHeight="1" s="46">
      <c r="B51" s="23" t="inlineStr">
        <is>
          <t>kẽm đôi 02*25,1kg</t>
        </is>
      </c>
      <c r="C51" s="23" t="n">
        <v>1</v>
      </c>
      <c r="D51" s="8" t="n">
        <v>350000</v>
      </c>
      <c r="G51" s="8" t="n">
        <v>350000</v>
      </c>
    </row>
    <row r="52" ht="15.75" customHeight="1" s="46">
      <c r="B52" s="23" t="inlineStr">
        <is>
          <t>1kg kẽm đơn02*8xr</t>
        </is>
      </c>
      <c r="C52" s="23" t="n">
        <v>1</v>
      </c>
      <c r="D52" s="8" t="n">
        <v>350000</v>
      </c>
      <c r="G52" s="8" t="n">
        <v>350000</v>
      </c>
    </row>
    <row r="53" ht="15.75" customHeight="1" s="46">
      <c r="B53" s="23" t="inlineStr">
        <is>
          <t>2 vỏ + mạch  bình 30A</t>
        </is>
      </c>
      <c r="G53" s="4" t="n">
        <v>890000</v>
      </c>
      <c r="H53" s="23" t="inlineStr">
        <is>
          <t>Phương đem về</t>
        </is>
      </c>
    </row>
    <row r="54" ht="15.75" customHeight="1" s="46">
      <c r="B54" s="23" t="inlineStr">
        <is>
          <t>24 viên pin 33140 EVE</t>
        </is>
      </c>
      <c r="D54" s="4" t="n">
        <v>77000</v>
      </c>
      <c r="G54" s="4" t="n">
        <v>1848000</v>
      </c>
      <c r="H54" s="23" t="inlineStr">
        <is>
          <t>Phương đem về</t>
        </is>
      </c>
    </row>
    <row r="55" ht="15.75" customHeight="1" s="46">
      <c r="B55" s="23" t="inlineStr">
        <is>
          <t>VỎ MẠCH 10 CELL</t>
        </is>
      </c>
      <c r="C55" s="4" t="n">
        <v>3</v>
      </c>
      <c r="G55" s="4" t="n">
        <v>240000</v>
      </c>
      <c r="H55" s="23" t="inlineStr">
        <is>
          <t>Gởi cùng hàng bên nhà</t>
        </is>
      </c>
    </row>
    <row r="56" ht="15.75" customHeight="1" s="46">
      <c r="B56" s="23" t="inlineStr">
        <is>
          <t>VỎ MẠCH 15 CELL</t>
        </is>
      </c>
      <c r="C56" s="4" t="n">
        <v>3</v>
      </c>
      <c r="G56" s="4" t="n">
        <v>255000</v>
      </c>
    </row>
    <row r="57" ht="15.75" customHeight="1" s="46">
      <c r="A57" s="13" t="n">
        <v>45973</v>
      </c>
      <c r="B57" s="4" t="inlineStr">
        <is>
          <t>VỎ 45A</t>
        </is>
      </c>
      <c r="C57" s="4" t="n">
        <v>2</v>
      </c>
      <c r="D57" s="4" t="n">
        <v>220</v>
      </c>
      <c r="G57" s="18" t="n">
        <v>440000</v>
      </c>
      <c r="H57" s="4" t="inlineStr">
        <is>
          <t>CHÂU CHỞ VỀ</t>
        </is>
      </c>
    </row>
    <row r="58" ht="15.75" customHeight="1" s="46">
      <c r="A58" s="13" t="n">
        <v>45973</v>
      </c>
      <c r="B58" s="4" t="inlineStr">
        <is>
          <t>PIN33140EVE</t>
        </is>
      </c>
      <c r="C58" s="4" t="inlineStr">
        <is>
          <t>16 CELL</t>
        </is>
      </c>
      <c r="D58" s="4" t="n">
        <v>81000</v>
      </c>
      <c r="G58" s="18" t="n">
        <v>1296000</v>
      </c>
      <c r="H58" s="4" t="inlineStr">
        <is>
          <t>CHÂU CHỞ VỀ</t>
        </is>
      </c>
    </row>
    <row r="59" ht="15.75" customHeight="1" s="46">
      <c r="A59" s="13" t="n">
        <v>45973</v>
      </c>
      <c r="B59" s="4" t="inlineStr">
        <is>
          <t>MẠCH 200A CCBTD ,CHỐNG CHẬP</t>
        </is>
      </c>
      <c r="C59" s="4" t="n">
        <v>2</v>
      </c>
      <c r="D59" s="18" t="n">
        <v>205000</v>
      </c>
      <c r="G59" s="18" t="n">
        <v>410000</v>
      </c>
      <c r="H59" s="4" t="inlineStr">
        <is>
          <t>CHÂU CHỞ VỀ</t>
        </is>
      </c>
    </row>
    <row r="60" ht="15.75" customHeight="1" s="46">
      <c r="A60" s="13" t="n">
        <v>45973</v>
      </c>
      <c r="B60" s="4" t="inlineStr">
        <is>
          <t>SẠC 21V 3A,CÓ QUẠT</t>
        </is>
      </c>
      <c r="C60" s="4" t="n">
        <v>2</v>
      </c>
      <c r="D60" s="18" t="n">
        <v>110000</v>
      </c>
      <c r="G60" s="18" t="n">
        <v>220000</v>
      </c>
      <c r="H60" s="4" t="inlineStr">
        <is>
          <t>CHÂU CHỞ VỀ</t>
        </is>
      </c>
    </row>
    <row r="61" ht="15.75" customHeight="1" s="46">
      <c r="A61" s="13" t="n">
        <v>45944</v>
      </c>
      <c r="B61" s="4" t="inlineStr">
        <is>
          <t>MÁY XẢ</t>
        </is>
      </c>
      <c r="C61" s="4" t="n">
        <v>1</v>
      </c>
      <c r="D61" s="18" t="n">
        <v>4000000</v>
      </c>
      <c r="G61" s="18" t="n">
        <v>4000000</v>
      </c>
      <c r="H61" s="15" t="inlineStr">
        <is>
          <t>SHIP</t>
        </is>
      </c>
    </row>
    <row r="62" ht="15.75" customHeight="1" s="46">
      <c r="A62" s="13" t="n">
        <v>45980</v>
      </c>
      <c r="B62" s="4" t="inlineStr">
        <is>
          <t>Vỏ ,mạch ,sạc,laser</t>
        </is>
      </c>
      <c r="C62" s="4" t="n">
        <v>3</v>
      </c>
      <c r="D62" s="4" t="n">
        <v>40000</v>
      </c>
      <c r="G62" s="4" t="n">
        <v>120000</v>
      </c>
    </row>
    <row r="63" ht="15.75" customHeight="1" s="46">
      <c r="B63" s="4" t="inlineStr">
        <is>
          <t>Sữa máy cắt</t>
        </is>
      </c>
      <c r="D63" s="4" t="inlineStr">
        <is>
          <t>100k</t>
        </is>
      </c>
      <c r="G63" s="4" t="n">
        <v>100000</v>
      </c>
    </row>
    <row r="64" ht="15.75" customHeight="1" s="46">
      <c r="A64" s="16" t="n">
        <v>45994</v>
      </c>
      <c r="B64" s="4" t="inlineStr">
        <is>
          <t>Máy cắt gởi tâm</t>
        </is>
      </c>
      <c r="G64" s="4" t="n">
        <v>1000000</v>
      </c>
      <c r="H64" s="4" t="inlineStr">
        <is>
          <t>Gởi tâm sài gòn</t>
        </is>
      </c>
    </row>
    <row r="65" ht="15.75" customHeight="1" s="46">
      <c r="A65" s="13" t="n">
        <v>45995</v>
      </c>
      <c r="B65" s="4" t="inlineStr">
        <is>
          <t>Máy vít 173,pin15cell,sạc nhanh,1 đèn ,đóng lại 2 quả pin 5cell</t>
        </is>
      </c>
      <c r="D65" s="4" t="n">
        <v>1540000</v>
      </c>
      <c r="G65" s="4" t="n">
        <v>1540000</v>
      </c>
      <c r="H65" s="4" t="inlineStr">
        <is>
          <t xml:space="preserve">Ở bệnh viện đa khoa </t>
        </is>
      </c>
    </row>
    <row r="66" ht="15.75" customHeight="1" s="46">
      <c r="A66" s="16" t="n">
        <v>45995</v>
      </c>
      <c r="B66" s="4" t="inlineStr">
        <is>
          <t>pin vev 25p</t>
        </is>
      </c>
      <c r="C66" s="4" t="inlineStr">
        <is>
          <t>60 cell</t>
        </is>
      </c>
      <c r="D66" s="4" t="n"/>
      <c r="G66" s="4" t="n">
        <v>1320000</v>
      </c>
    </row>
    <row r="67" ht="15.75" customHeight="1" s="46">
      <c r="A67" s="13" t="n">
        <v>46014</v>
      </c>
      <c r="B67" s="4" t="inlineStr">
        <is>
          <t>Pin 21700,50E</t>
        </is>
      </c>
      <c r="C67" s="4" t="inlineStr">
        <is>
          <t>16cell</t>
        </is>
      </c>
      <c r="D67" s="4" t="n">
        <v>35000</v>
      </c>
      <c r="G67" s="4" t="n">
        <v>560000</v>
      </c>
      <c r="H67" s="4" t="inlineStr">
        <is>
          <t>xe quyền</t>
        </is>
      </c>
    </row>
    <row r="68" ht="15.75" customHeight="1" s="46">
      <c r="B68" s="4" t="inlineStr">
        <is>
          <t>vỏ  sạc dự phòng 20ah</t>
        </is>
      </c>
      <c r="D68" s="4" t="n">
        <v>120000</v>
      </c>
      <c r="G68" s="4" t="n">
        <v>480000</v>
      </c>
    </row>
    <row r="69" ht="15.75" customHeight="1" s="46">
      <c r="A69" s="13" t="n">
        <v>46018</v>
      </c>
      <c r="B69" s="4" t="inlineStr">
        <is>
          <t>1 họp nhựa xe điện</t>
        </is>
      </c>
      <c r="C69" s="4" t="n">
        <v>1</v>
      </c>
      <c r="G69" s="4" t="n">
        <v>160000</v>
      </c>
      <c r="H69" s="4" t="inlineStr">
        <is>
          <t>xe sỹ</t>
        </is>
      </c>
    </row>
    <row r="70" ht="15.75" customHeight="1" s="46">
      <c r="B70" s="4" t="inlineStr">
        <is>
          <t>1 mạch daly 13s30a</t>
        </is>
      </c>
      <c r="C70" s="4" t="n">
        <v>1</v>
      </c>
      <c r="G70" s="4" t="n">
        <v>250000</v>
      </c>
    </row>
    <row r="71" ht="15.75" customHeight="1" s="46">
      <c r="B71" s="4" t="inlineStr">
        <is>
          <t>pinn 21700 ,50e</t>
        </is>
      </c>
      <c r="C71" s="4" t="inlineStr">
        <is>
          <t>60 cell</t>
        </is>
      </c>
      <c r="D71" s="4" t="n">
        <v>35000</v>
      </c>
      <c r="G71" s="4" t="n">
        <v>2100000</v>
      </c>
    </row>
    <row r="72" ht="15.75" customHeight="1" s="46">
      <c r="B72" s="4" t="inlineStr">
        <is>
          <t>sạc 13s5a</t>
        </is>
      </c>
      <c r="C72" s="4" t="n">
        <v>1</v>
      </c>
      <c r="G72" s="4" t="n">
        <v>220000</v>
      </c>
    </row>
    <row r="73" ht="15.75" customHeight="1" s="46">
      <c r="A73" s="13" t="n">
        <v>46024</v>
      </c>
      <c r="B73" s="4" t="inlineStr">
        <is>
          <t>Mạch 5s</t>
        </is>
      </c>
      <c r="C73" s="4" t="n">
        <v>8</v>
      </c>
      <c r="D73" s="4" t="n">
        <v>28000</v>
      </c>
      <c r="G73" s="4" t="n">
        <v>224000</v>
      </c>
    </row>
    <row r="74" ht="15.75" customHeight="1" s="46">
      <c r="B74" s="4" t="inlineStr">
        <is>
          <t>Máy  siết bu lông DTW700</t>
        </is>
      </c>
      <c r="C74" s="4" t="n">
        <v>1</v>
      </c>
      <c r="G74" s="4" t="n">
        <v>750000</v>
      </c>
    </row>
    <row r="75" ht="15.75" customHeight="1" s="46"/>
    <row r="76" ht="15.75" customHeight="1" s="46">
      <c r="A76" s="13" t="n">
        <v>46046</v>
      </c>
      <c r="B76" s="4" t="inlineStr">
        <is>
          <t>Pin 33140eve</t>
        </is>
      </c>
      <c r="C76" s="4" t="n">
        <v>20</v>
      </c>
      <c r="D76" s="4" t="n">
        <v>810000</v>
      </c>
      <c r="G76" s="4" t="n">
        <v>1620000</v>
      </c>
    </row>
    <row r="77" ht="15.75" customHeight="1" s="46">
      <c r="B77" s="4" t="inlineStr">
        <is>
          <t>Sạc 21v3a</t>
        </is>
      </c>
      <c r="C77" s="4" t="n">
        <v>4</v>
      </c>
      <c r="D77" s="4" t="n">
        <v>110000</v>
      </c>
      <c r="G77" s="4" t="n">
        <v>440000</v>
      </c>
    </row>
    <row r="78" ht="15.75" customHeight="1" s="46">
      <c r="B78" s="4" t="inlineStr">
        <is>
          <t>Mạch bình xe máy</t>
        </is>
      </c>
      <c r="C78" s="4" t="n">
        <v>2</v>
      </c>
      <c r="D78" s="4" t="n">
        <v>110000</v>
      </c>
      <c r="G78" s="4" t="n">
        <v>220000</v>
      </c>
    </row>
    <row r="79" ht="15.75" customHeight="1" s="46">
      <c r="B79" s="4" t="inlineStr">
        <is>
          <t>Dây điện bãi</t>
        </is>
      </c>
      <c r="C79" s="4" t="inlineStr">
        <is>
          <t>0,5kg</t>
        </is>
      </c>
      <c r="G79" s="4" t="n">
        <v>190000</v>
      </c>
    </row>
    <row r="80" ht="15.75" customHeight="1" s="46">
      <c r="A80" s="16" t="n">
        <v>47146</v>
      </c>
      <c r="B80" s="4" t="inlineStr">
        <is>
          <t>Bộ vỏ 4s</t>
        </is>
      </c>
      <c r="C80" s="4" t="n">
        <v>4</v>
      </c>
      <c r="D80" s="4" t="n">
        <v>25000</v>
      </c>
      <c r="G80" s="4" t="n">
        <v>100000</v>
      </c>
    </row>
    <row r="81" ht="15.75" customHeight="1" s="46">
      <c r="A81" s="17" t="n">
        <v>46083</v>
      </c>
      <c r="C81" s="4" t="n">
        <v>1</v>
      </c>
    </row>
    <row r="82" ht="15.75" customHeight="1" s="46">
      <c r="A82" s="13" t="n">
        <v>46083</v>
      </c>
      <c r="B82" s="4" t="inlineStr">
        <is>
          <t>Ông ck cho long 2000000</t>
        </is>
      </c>
    </row>
    <row r="83" ht="15.75" customHeight="1" s="46">
      <c r="A83" s="13" t="n">
        <v>46149</v>
      </c>
      <c r="B83" s="4" t="inlineStr">
        <is>
          <t>ss 50</t>
        </is>
      </c>
      <c r="C83" s="4" t="n">
        <v>93</v>
      </c>
      <c r="D83" s="4" t="n">
        <v>51000</v>
      </c>
      <c r="G83" s="4" t="n">
        <v>4743000</v>
      </c>
    </row>
    <row r="84" ht="15.75" customHeight="1" s="46">
      <c r="A84" s="13" t="n">
        <v>46149</v>
      </c>
      <c r="B84" s="4" t="inlineStr">
        <is>
          <t>đã tính xong ông còn nợ lại long 20230000</t>
        </is>
      </c>
      <c r="D84" s="4" t="inlineStr">
        <is>
          <t>hai mươi triệu hai trăm  ba mươi nghìn</t>
        </is>
      </c>
    </row>
    <row r="85" ht="15.75" customHeight="1" s="46">
      <c r="D85" s="4" t="inlineStr">
        <is>
          <t>Tổng lần 2</t>
        </is>
      </c>
      <c r="G85" s="18">
        <f>sum(G45:G83)</f>
        <v/>
      </c>
    </row>
    <row r="86" ht="15.75" customHeight="1" s="46">
      <c r="D86" s="4" t="inlineStr">
        <is>
          <t xml:space="preserve">Tổng nợ </t>
        </is>
      </c>
      <c r="G86" s="18">
        <f>sum(G44,G85)</f>
        <v/>
      </c>
    </row>
    <row r="87" ht="15.75" customHeight="1" s="46"/>
    <row r="88" ht="15.75" customHeight="1" s="46"/>
    <row r="89" ht="15.75" customHeight="1" s="46"/>
    <row r="90" ht="15.75" customHeight="1" s="46"/>
    <row r="91" ht="15.75" customHeight="1" s="46"/>
    <row r="92" ht="15.75" customHeight="1" s="46"/>
    <row r="93" ht="15.75" customHeight="1" s="46"/>
    <row r="94" ht="15.75" customHeight="1" s="46"/>
    <row r="95" ht="15.75" customHeight="1" s="46"/>
    <row r="96" ht="15.75" customHeight="1" s="46"/>
    <row r="97" ht="15.75" customHeight="1" s="46"/>
    <row r="98" ht="15.75" customHeight="1" s="46"/>
    <row r="99" ht="15.75" customHeight="1" s="46"/>
    <row r="100" ht="15.75" customHeight="1" s="46"/>
    <row r="101" ht="15.75" customHeight="1" s="46"/>
    <row r="102" ht="15.75" customHeight="1" s="46"/>
    <row r="103" ht="15.75" customHeight="1" s="46"/>
    <row r="104" ht="15.75" customHeight="1" s="46"/>
    <row r="105" ht="15.75" customHeight="1" s="46"/>
    <row r="106" ht="15.75" customHeight="1" s="46"/>
    <row r="107" ht="15.75" customHeight="1" s="46"/>
    <row r="108" ht="15.75" customHeight="1" s="46"/>
    <row r="109" ht="15.75" customHeight="1" s="46"/>
    <row r="110" ht="15.75" customHeight="1" s="46"/>
    <row r="111" ht="15.75" customHeight="1" s="46"/>
    <row r="112" ht="15.75" customHeight="1" s="46"/>
    <row r="113" ht="15.75" customHeight="1" s="46"/>
    <row r="114" ht="15.75" customHeight="1" s="46"/>
    <row r="115" ht="15.75" customHeight="1" s="46"/>
    <row r="116" ht="15.75" customHeight="1" s="46"/>
    <row r="117" ht="15.75" customHeight="1" s="46"/>
    <row r="118" ht="15.75" customHeight="1" s="46"/>
    <row r="119" ht="15.75" customHeight="1" s="46"/>
    <row r="120" ht="15.75" customHeight="1" s="46"/>
    <row r="121" ht="15.75" customHeight="1" s="46"/>
    <row r="122" ht="15.75" customHeight="1" s="46"/>
    <row r="123" ht="15.75" customHeight="1" s="46"/>
    <row r="124" ht="15.75" customHeight="1" s="46"/>
    <row r="125" ht="15.75" customHeight="1" s="46"/>
    <row r="126" ht="15.75" customHeight="1" s="46"/>
    <row r="127" ht="15.75" customHeight="1" s="46"/>
    <row r="128" ht="15.75" customHeight="1" s="46"/>
    <row r="129" ht="15.75" customHeight="1" s="46"/>
    <row r="130" ht="15.75" customHeight="1" s="46"/>
    <row r="131" ht="15.75" customHeight="1" s="46"/>
    <row r="132" ht="15.75" customHeight="1" s="46"/>
    <row r="133" ht="15.75" customHeight="1" s="46"/>
    <row r="134" ht="15.75" customHeight="1" s="46"/>
    <row r="135" ht="15.75" customHeight="1" s="46"/>
    <row r="136" ht="15.75" customHeight="1" s="46"/>
    <row r="137" ht="15.75" customHeight="1" s="46"/>
    <row r="138" ht="15.75" customHeight="1" s="46"/>
    <row r="139" ht="15.75" customHeight="1" s="46"/>
    <row r="140" ht="15.75" customHeight="1" s="46"/>
    <row r="141" ht="15.75" customHeight="1" s="46"/>
    <row r="142" ht="15.75" customHeight="1" s="46"/>
    <row r="143" ht="15.75" customHeight="1" s="46"/>
    <row r="144" ht="15.75" customHeight="1" s="46"/>
    <row r="145" ht="15.75" customHeight="1" s="46"/>
    <row r="146" ht="15.75" customHeight="1" s="46"/>
    <row r="147" ht="15.75" customHeight="1" s="46"/>
    <row r="148" ht="15.75" customHeight="1" s="46"/>
    <row r="149" ht="15.75" customHeight="1" s="46"/>
    <row r="150" ht="15.75" customHeight="1" s="46"/>
    <row r="151" ht="15.75" customHeight="1" s="46"/>
    <row r="152" ht="15.75" customHeight="1" s="46"/>
    <row r="153" ht="15.75" customHeight="1" s="46"/>
    <row r="154" ht="15.75" customHeight="1" s="46"/>
    <row r="155" ht="15.75" customHeight="1" s="46"/>
    <row r="156" ht="15.75" customHeight="1" s="46"/>
    <row r="157" ht="15.75" customHeight="1" s="46"/>
    <row r="158" ht="15.75" customHeight="1" s="46"/>
    <row r="159" ht="15.75" customHeight="1" s="46"/>
    <row r="160" ht="15.75" customHeight="1" s="46"/>
    <row r="161" ht="15.75" customHeight="1" s="46"/>
    <row r="162" ht="15.75" customHeight="1" s="46"/>
    <row r="163" ht="15.75" customHeight="1" s="46"/>
    <row r="164" ht="15.75" customHeight="1" s="46"/>
    <row r="165" ht="15.75" customHeight="1" s="46"/>
    <row r="166" ht="15.75" customHeight="1" s="46"/>
    <row r="167" ht="15.75" customHeight="1" s="46"/>
    <row r="168" ht="15.75" customHeight="1" s="46"/>
    <row r="169" ht="15.75" customHeight="1" s="46"/>
    <row r="170" ht="15.75" customHeight="1" s="46"/>
    <row r="171" ht="15.75" customHeight="1" s="46"/>
    <row r="172" ht="15.75" customHeight="1" s="46"/>
    <row r="173" ht="15.75" customHeight="1" s="46"/>
    <row r="174" ht="15.75" customHeight="1" s="46"/>
    <row r="175" ht="15.75" customHeight="1" s="46"/>
    <row r="176" ht="15.75" customHeight="1" s="46"/>
    <row r="177" ht="15.75" customHeight="1" s="46"/>
    <row r="178" ht="15.75" customHeight="1" s="46"/>
    <row r="179" ht="15.75" customHeight="1" s="46"/>
    <row r="180" ht="15.75" customHeight="1" s="46"/>
    <row r="181" ht="15.75" customHeight="1" s="46"/>
    <row r="182" ht="15.75" customHeight="1" s="46"/>
    <row r="183" ht="15.75" customHeight="1" s="46"/>
    <row r="184" ht="15.75" customHeight="1" s="46"/>
    <row r="185" ht="15.75" customHeight="1" s="46"/>
    <row r="186" ht="15.75" customHeight="1" s="46"/>
    <row r="187" ht="15.75" customHeight="1" s="46"/>
    <row r="188" ht="15.75" customHeight="1" s="46"/>
    <row r="189" ht="15.75" customHeight="1" s="46"/>
    <row r="190" ht="15.75" customHeight="1" s="46"/>
    <row r="191" ht="15.75" customHeight="1" s="46"/>
    <row r="192" ht="15.75" customHeight="1" s="46"/>
    <row r="193" ht="15.75" customHeight="1" s="46"/>
    <row r="194" ht="15.75" customHeight="1" s="46"/>
    <row r="195" ht="15.75" customHeight="1" s="46"/>
    <row r="196" ht="15.75" customHeight="1" s="46"/>
    <row r="197" ht="15.75" customHeight="1" s="46"/>
    <row r="198" ht="15.75" customHeight="1" s="46"/>
    <row r="199" ht="15.75" customHeight="1" s="46"/>
    <row r="200" ht="15.75" customHeight="1" s="46"/>
    <row r="201" ht="15.75" customHeight="1" s="46"/>
    <row r="202" ht="15.75" customHeight="1" s="46"/>
    <row r="203" ht="15.75" customHeight="1" s="46"/>
    <row r="204" ht="15.75" customHeight="1" s="46"/>
    <row r="205" ht="15.75" customHeight="1" s="46"/>
    <row r="206" ht="15.75" customHeight="1" s="46"/>
    <row r="207" ht="15.75" customHeight="1" s="46"/>
    <row r="208" ht="15.75" customHeight="1" s="46"/>
    <row r="209" ht="15.75" customHeight="1" s="46"/>
    <row r="210" ht="15.75" customHeight="1" s="46"/>
    <row r="211" ht="15.75" customHeight="1" s="46"/>
    <row r="212" ht="15.75" customHeight="1" s="46"/>
    <row r="213" ht="15.75" customHeight="1" s="46"/>
    <row r="214" ht="15.75" customHeight="1" s="46"/>
    <row r="215" ht="15.75" customHeight="1" s="46"/>
    <row r="216" ht="15.75" customHeight="1" s="46"/>
    <row r="217" ht="15.75" customHeight="1" s="46"/>
    <row r="218" ht="15.75" customHeight="1" s="46"/>
    <row r="219" ht="15.75" customHeight="1" s="46"/>
    <row r="220" ht="15.75" customHeight="1" s="46"/>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 right="0.7" top="0.75" bottom="0.75" header="0" footer="0"/>
  <pageSetup orientation="landscape"/>
</worksheet>
</file>

<file path=xl/worksheets/sheet12.xml><?xml version="1.0" encoding="utf-8"?>
<worksheet xmlns="http://schemas.openxmlformats.org/spreadsheetml/2006/main">
  <sheetPr>
    <outlinePr summaryBelow="0" summaryRight="0"/>
    <pageSetUpPr/>
  </sheetPr>
  <dimension ref="A1:C1"/>
  <sheetViews>
    <sheetView workbookViewId="0">
      <selection activeCell="A1" sqref="A1"/>
    </sheetView>
  </sheetViews>
  <sheetFormatPr baseColWidth="8" defaultColWidth="14.43" defaultRowHeight="15" customHeight="1"/>
  <cols>
    <col width="43.71" customWidth="1" style="46" min="1" max="1"/>
  </cols>
  <sheetData>
    <row r="1">
      <c r="A1" s="4" t="inlineStr">
        <is>
          <t>Từ đầu đến ngày 2/3/2026 tc ck cho long là</t>
        </is>
      </c>
      <c r="C1" s="4" t="inlineStr">
        <is>
          <t>45 000 000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ColWidth="14.43" defaultRowHeight="15" customHeight="1"/>
  <cols>
    <col width="8" customWidth="1" style="46" min="1" max="1"/>
    <col width="20" customWidth="1" style="46" min="2" max="2"/>
    <col width="12.14" customWidth="1" style="46" min="3" max="3"/>
    <col width="13.29" customWidth="1" style="46" min="4" max="4"/>
    <col width="20.57" customWidth="1" style="46" min="5" max="5"/>
    <col width="8" customWidth="1" style="46" min="6" max="6"/>
  </cols>
  <sheetData>
    <row r="1">
      <c r="A1" s="61" t="inlineStr">
        <is>
          <t>NHỮNG ĐƠN HÀNG TRẢ LẠI CHO LONG</t>
        </is>
      </c>
    </row>
    <row r="2">
      <c r="A2" s="22" t="n"/>
      <c r="B2" s="23" t="n"/>
      <c r="C2" s="22" t="n"/>
      <c r="D2" s="22" t="n"/>
      <c r="E2" s="23" t="n"/>
    </row>
    <row r="3" ht="22.5" customHeight="1" s="46">
      <c r="A3" s="27" t="inlineStr">
        <is>
          <t>STT</t>
        </is>
      </c>
      <c r="B3" s="25" t="inlineStr">
        <is>
          <t>TÊN ĐƠN HÀNG</t>
        </is>
      </c>
      <c r="C3" s="27" t="inlineStr">
        <is>
          <t>Loại</t>
        </is>
      </c>
      <c r="D3" s="27" t="inlineStr">
        <is>
          <t>SỐ LƯỢNG</t>
        </is>
      </c>
      <c r="E3" s="25" t="inlineStr">
        <is>
          <t>THÀNH TIỀN</t>
        </is>
      </c>
    </row>
    <row r="4" ht="22.5" customHeight="1" s="46">
      <c r="A4" s="42" t="n">
        <v>1</v>
      </c>
      <c r="B4" s="42" t="inlineStr">
        <is>
          <t>A123</t>
        </is>
      </c>
      <c r="C4" s="42" t="n"/>
      <c r="D4" s="27" t="n">
        <v>50</v>
      </c>
      <c r="E4" s="28" t="n">
        <v>1150000</v>
      </c>
    </row>
    <row r="5" ht="22.5" customHeight="1" s="46">
      <c r="A5" s="42" t="n">
        <v>2</v>
      </c>
      <c r="B5" s="42" t="inlineStr">
        <is>
          <t>MÁY MÀI MKT TQ</t>
        </is>
      </c>
      <c r="C5" s="42" t="n"/>
      <c r="D5" s="27" t="n">
        <v>1</v>
      </c>
      <c r="E5" s="28" t="n">
        <v>350000</v>
      </c>
    </row>
    <row r="6" ht="22.5" customHeight="1" s="46">
      <c r="A6" s="42" t="n">
        <v>3</v>
      </c>
      <c r="B6" s="42" t="inlineStr">
        <is>
          <t>PIN21700</t>
        </is>
      </c>
      <c r="C6" s="42" t="n"/>
      <c r="D6" s="27" t="inlineStr">
        <is>
          <t>5V</t>
        </is>
      </c>
      <c r="E6" s="28" t="n"/>
    </row>
    <row r="7" ht="22.5" customHeight="1" s="46">
      <c r="A7" s="42" t="n">
        <v>4</v>
      </c>
      <c r="B7" s="42" t="inlineStr">
        <is>
          <t>FIN18600</t>
        </is>
      </c>
      <c r="C7" s="42" t="n"/>
      <c r="D7" s="27" t="inlineStr">
        <is>
          <t>6V</t>
        </is>
      </c>
      <c r="E7" s="28" t="n"/>
    </row>
    <row r="8" ht="15" customHeight="1" s="46">
      <c r="D8" s="29" t="n"/>
    </row>
    <row r="9" ht="15" customHeight="1" s="46">
      <c r="D9" s="29" t="n"/>
    </row>
    <row r="10" ht="15" customHeight="1" s="46">
      <c r="D10" s="29" t="n"/>
    </row>
    <row r="11" ht="15" customHeight="1" s="46">
      <c r="D11" s="29" t="n"/>
    </row>
    <row r="12" ht="15" customHeight="1" s="46">
      <c r="D12" s="29" t="n"/>
    </row>
    <row r="13" ht="15" customHeight="1" s="46">
      <c r="D13" s="29" t="n"/>
    </row>
    <row r="14" ht="15" customHeight="1" s="46">
      <c r="D14" s="29" t="n"/>
    </row>
    <row r="15" ht="15" customHeight="1" s="46">
      <c r="D15" s="29" t="n"/>
    </row>
    <row r="16" ht="15" customHeight="1" s="46">
      <c r="D16" s="29" t="n"/>
    </row>
    <row r="17">
      <c r="D17" s="22" t="n"/>
    </row>
    <row r="18">
      <c r="D18" s="22" t="n"/>
    </row>
    <row r="19">
      <c r="D19" s="22" t="n"/>
    </row>
    <row r="20">
      <c r="D20" s="22" t="n"/>
    </row>
    <row r="21">
      <c r="D21" s="22" t="n"/>
    </row>
    <row r="22" ht="15.75" customHeight="1" s="46">
      <c r="D22" s="22" t="n"/>
    </row>
    <row r="23" ht="15.75" customHeight="1" s="46">
      <c r="D23" s="22" t="n"/>
    </row>
    <row r="24" ht="15.75" customHeight="1" s="46">
      <c r="D24" s="22" t="n"/>
    </row>
    <row r="25" ht="15.75" customHeight="1" s="46">
      <c r="D25" s="22" t="n"/>
    </row>
    <row r="26" ht="15.75" customHeight="1" s="46">
      <c r="D26" s="22" t="n"/>
    </row>
    <row r="27" ht="15.75" customHeight="1" s="46">
      <c r="D27" s="22" t="n"/>
    </row>
    <row r="28" ht="15.75" customHeight="1" s="46">
      <c r="D28" s="22" t="n"/>
    </row>
    <row r="29" ht="15.75" customHeight="1" s="46">
      <c r="D29" s="22" t="n"/>
    </row>
    <row r="30" ht="15.75" customHeight="1" s="46">
      <c r="D30" s="22" t="n"/>
    </row>
    <row r="31" ht="15.75" customHeight="1" s="46">
      <c r="D31" s="22" t="n"/>
    </row>
    <row r="32" ht="15.75" customHeight="1" s="46">
      <c r="D32" s="22" t="n"/>
    </row>
    <row r="33" ht="15.75" customHeight="1" s="46">
      <c r="D33" s="22" t="n"/>
    </row>
    <row r="34" ht="15.75" customHeight="1" s="46">
      <c r="D34" s="22" t="n"/>
    </row>
    <row r="35" ht="15.75" customHeight="1" s="46">
      <c r="D35" s="22" t="n"/>
    </row>
    <row r="36" ht="15.75" customHeight="1" s="46">
      <c r="D36" s="22" t="n"/>
    </row>
    <row r="37" ht="15.75" customHeight="1" s="46">
      <c r="D37" s="22" t="n"/>
    </row>
    <row r="38" ht="15.75" customHeight="1" s="46">
      <c r="D38" s="22" t="n"/>
    </row>
    <row r="39" ht="15.75" customHeight="1" s="46">
      <c r="D39" s="22" t="n"/>
    </row>
    <row r="40" ht="15.75" customHeight="1" s="46">
      <c r="D40" s="22" t="n"/>
    </row>
    <row r="41" ht="15.75" customHeight="1" s="46">
      <c r="D41" s="22" t="n"/>
    </row>
    <row r="42" ht="15.75" customHeight="1" s="46">
      <c r="D42" s="22" t="n"/>
    </row>
    <row r="43" ht="15.75" customHeight="1" s="46">
      <c r="D43" s="22" t="n"/>
    </row>
    <row r="44" ht="15.75" customHeight="1" s="46">
      <c r="D44" s="22" t="n"/>
    </row>
    <row r="45" ht="15.75" customHeight="1" s="46">
      <c r="D45" s="22" t="n"/>
    </row>
    <row r="46" ht="15.75" customHeight="1" s="46">
      <c r="D46" s="22" t="n"/>
    </row>
    <row r="47" ht="15.75" customHeight="1" s="46">
      <c r="D47" s="22" t="n"/>
    </row>
    <row r="48" ht="15.75" customHeight="1" s="46">
      <c r="D48" s="22" t="n"/>
    </row>
    <row r="49" ht="15.75" customHeight="1" s="46">
      <c r="D49" s="22" t="n"/>
    </row>
    <row r="50" ht="15.75" customHeight="1" s="46">
      <c r="D50" s="22" t="n"/>
    </row>
    <row r="51" ht="15.75" customHeight="1" s="46">
      <c r="D51" s="22" t="n"/>
    </row>
    <row r="52" ht="15.75" customHeight="1" s="46">
      <c r="D52" s="22" t="n"/>
    </row>
    <row r="53" ht="15.75" customHeight="1" s="46">
      <c r="D53" s="22" t="n"/>
    </row>
    <row r="54" ht="15.75" customHeight="1" s="46">
      <c r="D54" s="22" t="n"/>
    </row>
    <row r="55" ht="15.75" customHeight="1" s="46">
      <c r="D55" s="22" t="n"/>
    </row>
    <row r="56" ht="15.75" customHeight="1" s="46">
      <c r="D56" s="22" t="n"/>
    </row>
    <row r="57" ht="15.75" customHeight="1" s="46">
      <c r="D57" s="22" t="n"/>
    </row>
    <row r="58" ht="15.75" customHeight="1" s="46">
      <c r="D58" s="22" t="n"/>
    </row>
    <row r="59" ht="15.75" customHeight="1" s="46">
      <c r="D59" s="22" t="n"/>
    </row>
    <row r="60" ht="15.75" customHeight="1" s="46">
      <c r="D60" s="22" t="n"/>
    </row>
    <row r="61" ht="15.75" customHeight="1" s="46">
      <c r="D61" s="22" t="n"/>
    </row>
    <row r="62" ht="15.75" customHeight="1" s="46">
      <c r="D62" s="22" t="n"/>
    </row>
    <row r="63" ht="15.75" customHeight="1" s="46">
      <c r="D63" s="22" t="n"/>
    </row>
    <row r="64" ht="15.75" customHeight="1" s="46">
      <c r="D64" s="22" t="n"/>
    </row>
    <row r="65" ht="15.75" customHeight="1" s="46">
      <c r="D65" s="22" t="n"/>
    </row>
    <row r="66" ht="15.75" customHeight="1" s="46">
      <c r="D66" s="22" t="n"/>
    </row>
    <row r="67" ht="15.75" customHeight="1" s="46">
      <c r="D67" s="22" t="n"/>
    </row>
    <row r="68" ht="15.75" customHeight="1" s="46">
      <c r="D68" s="22" t="n"/>
    </row>
    <row r="69" ht="15.75" customHeight="1" s="46">
      <c r="D69" s="22" t="n"/>
    </row>
    <row r="70" ht="15.75" customHeight="1" s="46">
      <c r="D70" s="22" t="n"/>
    </row>
    <row r="71" ht="15.75" customHeight="1" s="46">
      <c r="D71" s="22" t="n"/>
    </row>
    <row r="72" ht="15.75" customHeight="1" s="46">
      <c r="D72" s="22" t="n"/>
    </row>
    <row r="73" ht="15.75" customHeight="1" s="46">
      <c r="D73" s="22" t="n"/>
    </row>
    <row r="74" ht="15.75" customHeight="1" s="46">
      <c r="D74" s="22" t="n"/>
    </row>
    <row r="75" ht="15.75" customHeight="1" s="46">
      <c r="D75" s="22" t="n"/>
    </row>
    <row r="76" ht="15.75" customHeight="1" s="46">
      <c r="D76" s="22" t="n"/>
    </row>
    <row r="77" ht="15.75" customHeight="1" s="46">
      <c r="D77" s="22" t="n"/>
    </row>
    <row r="78" ht="15.75" customHeight="1" s="46">
      <c r="D78" s="22" t="n"/>
    </row>
    <row r="79" ht="15.75" customHeight="1" s="46">
      <c r="D79" s="22" t="n"/>
    </row>
    <row r="80" ht="15.75" customHeight="1" s="46">
      <c r="D80" s="22" t="n"/>
    </row>
    <row r="81" ht="15.75" customHeight="1" s="46">
      <c r="D81" s="22" t="n"/>
    </row>
    <row r="82" ht="15.75" customHeight="1" s="46">
      <c r="D82" s="22" t="n"/>
    </row>
    <row r="83" ht="15.75" customHeight="1" s="46">
      <c r="D83" s="22" t="n"/>
    </row>
    <row r="84" ht="15.75" customHeight="1" s="46">
      <c r="D84" s="22" t="n"/>
    </row>
    <row r="85" ht="15.75" customHeight="1" s="46">
      <c r="D85" s="22" t="n"/>
    </row>
    <row r="86" ht="15.75" customHeight="1" s="46">
      <c r="D86" s="22" t="n"/>
    </row>
    <row r="87" ht="15.75" customHeight="1" s="46">
      <c r="D87" s="22" t="n"/>
    </row>
    <row r="88" ht="15.75" customHeight="1" s="46">
      <c r="D88" s="22" t="n"/>
    </row>
    <row r="89" ht="15.75" customHeight="1" s="46">
      <c r="D89" s="22" t="n"/>
    </row>
    <row r="90" ht="15.75" customHeight="1" s="46">
      <c r="D90" s="22" t="n"/>
    </row>
    <row r="91" ht="15.75" customHeight="1" s="46">
      <c r="D91" s="22" t="n"/>
    </row>
    <row r="92" ht="15.75" customHeight="1" s="46">
      <c r="D92" s="22" t="n"/>
    </row>
    <row r="93" ht="15.75" customHeight="1" s="46">
      <c r="D93" s="22" t="n"/>
    </row>
    <row r="94" ht="15.75" customHeight="1" s="46">
      <c r="D94" s="22" t="n"/>
    </row>
    <row r="95" ht="15.75" customHeight="1" s="46">
      <c r="D95" s="22" t="n"/>
    </row>
    <row r="96" ht="15.75" customHeight="1" s="46">
      <c r="D96" s="22" t="n"/>
    </row>
    <row r="97" ht="15.75" customHeight="1" s="46">
      <c r="D97" s="22" t="n"/>
    </row>
    <row r="98" ht="15.75" customHeight="1" s="46">
      <c r="D98" s="22" t="n"/>
    </row>
    <row r="99" ht="15.75" customHeight="1" s="46">
      <c r="D99" s="22" t="n"/>
    </row>
    <row r="100" ht="15.75" customHeight="1" s="46">
      <c r="D100" s="22" t="n"/>
    </row>
    <row r="101" ht="15.75" customHeight="1" s="46">
      <c r="D101" s="22" t="n"/>
    </row>
    <row r="102" ht="15.75" customHeight="1" s="46">
      <c r="D102" s="22" t="n"/>
    </row>
    <row r="103" ht="15.75" customHeight="1" s="46">
      <c r="D103" s="22" t="n"/>
    </row>
    <row r="104" ht="15.75" customHeight="1" s="46">
      <c r="D104" s="22" t="n"/>
    </row>
    <row r="105" ht="15.75" customHeight="1" s="46">
      <c r="D105" s="22" t="n"/>
    </row>
    <row r="106" ht="15.75" customHeight="1" s="46">
      <c r="D106" s="22" t="n"/>
    </row>
    <row r="107" ht="15.75" customHeight="1" s="46">
      <c r="D107" s="22" t="n"/>
    </row>
    <row r="108" ht="15.75" customHeight="1" s="46">
      <c r="D108" s="22" t="n"/>
    </row>
    <row r="109" ht="15.75" customHeight="1" s="46">
      <c r="D109" s="22" t="n"/>
    </row>
    <row r="110" ht="15.75" customHeight="1" s="46">
      <c r="D110" s="22" t="n"/>
    </row>
    <row r="111" ht="15.75" customHeight="1" s="46">
      <c r="D111" s="22" t="n"/>
    </row>
    <row r="112" ht="15.75" customHeight="1" s="46">
      <c r="D112" s="22" t="n"/>
    </row>
    <row r="113" ht="15.75" customHeight="1" s="46">
      <c r="D113" s="22" t="n"/>
    </row>
    <row r="114" ht="15.75" customHeight="1" s="46">
      <c r="D114" s="22" t="n"/>
    </row>
    <row r="115" ht="15.75" customHeight="1" s="46">
      <c r="D115" s="22" t="n"/>
    </row>
    <row r="116" ht="15.75" customHeight="1" s="46">
      <c r="D116" s="22" t="n"/>
    </row>
    <row r="117" ht="15.75" customHeight="1" s="46">
      <c r="D117" s="22" t="n"/>
    </row>
    <row r="118" ht="15.75" customHeight="1" s="46">
      <c r="D118" s="22" t="n"/>
    </row>
    <row r="119" ht="15.75" customHeight="1" s="46">
      <c r="D119" s="22" t="n"/>
    </row>
    <row r="120" ht="15.75" customHeight="1" s="46">
      <c r="D120" s="22" t="n"/>
    </row>
    <row r="121" ht="15.75" customHeight="1" s="46">
      <c r="D121" s="22" t="n"/>
    </row>
    <row r="122" ht="15.75" customHeight="1" s="46">
      <c r="D122" s="22" t="n"/>
    </row>
    <row r="123" ht="15.75" customHeight="1" s="46">
      <c r="D123" s="22" t="n"/>
    </row>
    <row r="124" ht="15.75" customHeight="1" s="46">
      <c r="D124" s="22" t="n"/>
    </row>
    <row r="125" ht="15.75" customHeight="1" s="46">
      <c r="D125" s="22" t="n"/>
    </row>
    <row r="126" ht="15.75" customHeight="1" s="46">
      <c r="D126" s="22" t="n"/>
    </row>
    <row r="127" ht="15.75" customHeight="1" s="46">
      <c r="D127" s="22" t="n"/>
    </row>
    <row r="128" ht="15.75" customHeight="1" s="46">
      <c r="D128" s="22" t="n"/>
    </row>
    <row r="129" ht="15.75" customHeight="1" s="46">
      <c r="D129" s="22" t="n"/>
    </row>
    <row r="130" ht="15.75" customHeight="1" s="46">
      <c r="D130" s="22" t="n"/>
    </row>
    <row r="131" ht="15.75" customHeight="1" s="46">
      <c r="D131" s="22" t="n"/>
    </row>
    <row r="132" ht="15.75" customHeight="1" s="46">
      <c r="D132" s="22" t="n"/>
    </row>
    <row r="133" ht="15.75" customHeight="1" s="46">
      <c r="D133" s="22" t="n"/>
    </row>
    <row r="134" ht="15.75" customHeight="1" s="46">
      <c r="D134" s="22" t="n"/>
    </row>
    <row r="135" ht="15.75" customHeight="1" s="46">
      <c r="D135" s="22" t="n"/>
    </row>
    <row r="136" ht="15.75" customHeight="1" s="46">
      <c r="D136" s="22" t="n"/>
    </row>
    <row r="137" ht="15.75" customHeight="1" s="46">
      <c r="D137" s="22" t="n"/>
    </row>
    <row r="138" ht="15.75" customHeight="1" s="46">
      <c r="D138" s="22" t="n"/>
    </row>
    <row r="139" ht="15.75" customHeight="1" s="46">
      <c r="D139" s="22" t="n"/>
    </row>
    <row r="140" ht="15.75" customHeight="1" s="46">
      <c r="D140" s="22" t="n"/>
    </row>
    <row r="141" ht="15.75" customHeight="1" s="46">
      <c r="D141" s="22" t="n"/>
    </row>
    <row r="142" ht="15.75" customHeight="1" s="46">
      <c r="D142" s="22" t="n"/>
    </row>
    <row r="143" ht="15.75" customHeight="1" s="46">
      <c r="D143" s="22" t="n"/>
    </row>
    <row r="144" ht="15.75" customHeight="1" s="46">
      <c r="D144" s="22" t="n"/>
    </row>
    <row r="145" ht="15.75" customHeight="1" s="46">
      <c r="D145" s="22" t="n"/>
    </row>
    <row r="146" ht="15.75" customHeight="1" s="46">
      <c r="D146" s="22" t="n"/>
    </row>
    <row r="147" ht="15.75" customHeight="1" s="46">
      <c r="D147" s="22" t="n"/>
    </row>
    <row r="148" ht="15.75" customHeight="1" s="46">
      <c r="D148" s="22" t="n"/>
    </row>
    <row r="149" ht="15.75" customHeight="1" s="46">
      <c r="D149" s="22" t="n"/>
    </row>
    <row r="150" ht="15.75" customHeight="1" s="46">
      <c r="D150" s="22" t="n"/>
    </row>
    <row r="151" ht="15.75" customHeight="1" s="46">
      <c r="D151" s="22" t="n"/>
    </row>
    <row r="152" ht="15.75" customHeight="1" s="46">
      <c r="D152" s="22" t="n"/>
    </row>
    <row r="153" ht="15.75" customHeight="1" s="46">
      <c r="D153" s="22" t="n"/>
    </row>
    <row r="154" ht="15.75" customHeight="1" s="46">
      <c r="D154" s="22" t="n"/>
    </row>
    <row r="155" ht="15.75" customHeight="1" s="46">
      <c r="D155" s="22" t="n"/>
    </row>
    <row r="156" ht="15.75" customHeight="1" s="46">
      <c r="D156" s="22" t="n"/>
    </row>
    <row r="157" ht="15.75" customHeight="1" s="46">
      <c r="D157" s="22" t="n"/>
    </row>
    <row r="158" ht="15.75" customHeight="1" s="46">
      <c r="D158" s="22" t="n"/>
    </row>
    <row r="159" ht="15.75" customHeight="1" s="46">
      <c r="D159" s="22" t="n"/>
    </row>
    <row r="160" ht="15.75" customHeight="1" s="46">
      <c r="D160" s="22" t="n"/>
    </row>
    <row r="161" ht="15.75" customHeight="1" s="46">
      <c r="D161" s="22" t="n"/>
    </row>
    <row r="162" ht="15.75" customHeight="1" s="46">
      <c r="D162" s="22" t="n"/>
    </row>
    <row r="163" ht="15.75" customHeight="1" s="46">
      <c r="D163" s="22" t="n"/>
    </row>
    <row r="164" ht="15.75" customHeight="1" s="46">
      <c r="D164" s="22" t="n"/>
    </row>
    <row r="165" ht="15.75" customHeight="1" s="46">
      <c r="D165" s="22" t="n"/>
    </row>
    <row r="166" ht="15.75" customHeight="1" s="46">
      <c r="D166" s="22" t="n"/>
    </row>
    <row r="167" ht="15.75" customHeight="1" s="46">
      <c r="D167" s="22" t="n"/>
    </row>
    <row r="168" ht="15.75" customHeight="1" s="46">
      <c r="D168" s="22" t="n"/>
    </row>
    <row r="169" ht="15.75" customHeight="1" s="46">
      <c r="D169" s="22" t="n"/>
    </row>
    <row r="170" ht="15.75" customHeight="1" s="46">
      <c r="D170" s="22" t="n"/>
    </row>
    <row r="171" ht="15.75" customHeight="1" s="46">
      <c r="D171" s="22" t="n"/>
    </row>
    <row r="172" ht="15.75" customHeight="1" s="46">
      <c r="D172" s="22" t="n"/>
    </row>
    <row r="173" ht="15.75" customHeight="1" s="46">
      <c r="D173" s="22" t="n"/>
    </row>
    <row r="174" ht="15.75" customHeight="1" s="46">
      <c r="D174" s="22" t="n"/>
    </row>
    <row r="175" ht="15.75" customHeight="1" s="46">
      <c r="D175" s="22" t="n"/>
    </row>
    <row r="176" ht="15.75" customHeight="1" s="46">
      <c r="D176" s="22" t="n"/>
    </row>
    <row r="177" ht="15.75" customHeight="1" s="46">
      <c r="D177" s="22" t="n"/>
    </row>
    <row r="178" ht="15.75" customHeight="1" s="46">
      <c r="D178" s="22" t="n"/>
    </row>
    <row r="179" ht="15.75" customHeight="1" s="46">
      <c r="D179" s="22" t="n"/>
    </row>
    <row r="180" ht="15.75" customHeight="1" s="46">
      <c r="D180" s="22" t="n"/>
    </row>
    <row r="181" ht="15.75" customHeight="1" s="46">
      <c r="D181" s="22" t="n"/>
    </row>
    <row r="182" ht="15.75" customHeight="1" s="46">
      <c r="D182" s="22" t="n"/>
    </row>
    <row r="183" ht="15.75" customHeight="1" s="46">
      <c r="D183" s="22" t="n"/>
    </row>
    <row r="184" ht="15.75" customHeight="1" s="46">
      <c r="D184" s="22" t="n"/>
    </row>
    <row r="185" ht="15.75" customHeight="1" s="46">
      <c r="D185" s="22" t="n"/>
    </row>
    <row r="186" ht="15.75" customHeight="1" s="46">
      <c r="D186" s="22" t="n"/>
    </row>
    <row r="187" ht="15.75" customHeight="1" s="46">
      <c r="D187" s="22" t="n"/>
    </row>
    <row r="188" ht="15.75" customHeight="1" s="46">
      <c r="D188" s="22" t="n"/>
    </row>
    <row r="189" ht="15.75" customHeight="1" s="46">
      <c r="D189" s="22" t="n"/>
    </row>
    <row r="190" ht="15.75" customHeight="1" s="46">
      <c r="D190" s="22" t="n"/>
    </row>
    <row r="191" ht="15.75" customHeight="1" s="46">
      <c r="D191" s="22" t="n"/>
    </row>
    <row r="192" ht="15.75" customHeight="1" s="46">
      <c r="D192" s="22" t="n"/>
    </row>
    <row r="193" ht="15.75" customHeight="1" s="46">
      <c r="D193" s="22" t="n"/>
    </row>
    <row r="194" ht="15.75" customHeight="1" s="46">
      <c r="D194" s="22" t="n"/>
    </row>
    <row r="195" ht="15.75" customHeight="1" s="46">
      <c r="D195" s="22" t="n"/>
    </row>
    <row r="196" ht="15.75" customHeight="1" s="46">
      <c r="D196" s="22" t="n"/>
    </row>
    <row r="197" ht="15.75" customHeight="1" s="46">
      <c r="D197" s="22" t="n"/>
    </row>
    <row r="198" ht="15.75" customHeight="1" s="46">
      <c r="D198" s="22" t="n"/>
    </row>
    <row r="199" ht="15.75" customHeight="1" s="46">
      <c r="D199" s="22" t="n"/>
    </row>
    <row r="200" ht="15.75" customHeight="1" s="46">
      <c r="D200" s="22" t="n"/>
    </row>
    <row r="201" ht="15.75" customHeight="1" s="46">
      <c r="D201" s="22" t="n"/>
    </row>
    <row r="202" ht="15.75" customHeight="1" s="46">
      <c r="D202" s="22" t="n"/>
    </row>
    <row r="203" ht="15.75" customHeight="1" s="46">
      <c r="D203" s="22" t="n"/>
    </row>
    <row r="204" ht="15.75" customHeight="1" s="46">
      <c r="D204" s="22" t="n"/>
    </row>
    <row r="205" ht="15.75" customHeight="1" s="46">
      <c r="D205" s="22" t="n"/>
    </row>
    <row r="206" ht="15.75" customHeight="1" s="46">
      <c r="D206" s="22" t="n"/>
    </row>
    <row r="207" ht="15.75" customHeight="1" s="46">
      <c r="D207" s="22" t="n"/>
    </row>
    <row r="208" ht="15.75" customHeight="1" s="46">
      <c r="D208" s="22" t="n"/>
    </row>
    <row r="209" ht="15.75" customHeight="1" s="46">
      <c r="D209" s="22" t="n"/>
    </row>
    <row r="210" ht="15.75" customHeight="1" s="46">
      <c r="D210" s="22" t="n"/>
    </row>
    <row r="211" ht="15.75" customHeight="1" s="46">
      <c r="D211" s="22" t="n"/>
    </row>
    <row r="212" ht="15.75" customHeight="1" s="46">
      <c r="D212" s="22" t="n"/>
    </row>
    <row r="213" ht="15.75" customHeight="1" s="46">
      <c r="D213" s="22" t="n"/>
    </row>
    <row r="214" ht="15.75" customHeight="1" s="46">
      <c r="D214" s="22" t="n"/>
    </row>
    <row r="215" ht="15.75" customHeight="1" s="46">
      <c r="D215" s="22" t="n"/>
    </row>
    <row r="216" ht="15.75" customHeight="1" s="46">
      <c r="D216" s="22" t="n"/>
    </row>
    <row r="217" ht="15.75" customHeight="1" s="46">
      <c r="D217" s="22" t="n"/>
    </row>
    <row r="218" ht="15.75" customHeight="1" s="46">
      <c r="D218" s="22" t="n"/>
    </row>
    <row r="219" ht="15.75" customHeight="1" s="46">
      <c r="D219" s="22" t="n"/>
    </row>
    <row r="220" ht="15.75" customHeight="1" s="46">
      <c r="D220" s="22" t="n"/>
    </row>
    <row r="221" ht="15.75" customHeight="1" s="46">
      <c r="D221" s="22" t="n"/>
    </row>
    <row r="222" ht="15.75" customHeight="1" s="46">
      <c r="D222" s="22" t="n"/>
    </row>
    <row r="223" ht="15.75" customHeight="1" s="46">
      <c r="D223" s="22" t="n"/>
    </row>
    <row r="224" ht="15.75" customHeight="1" s="46">
      <c r="D224" s="22" t="n"/>
    </row>
    <row r="225" ht="15.75" customHeight="1" s="46">
      <c r="D225" s="22" t="n"/>
    </row>
    <row r="226" ht="15.75" customHeight="1" s="46">
      <c r="D226" s="22" t="n"/>
    </row>
    <row r="227" ht="15.75" customHeight="1" s="46">
      <c r="D227" s="22" t="n"/>
    </row>
    <row r="228" ht="15.75" customHeight="1" s="46">
      <c r="D228" s="22" t="n"/>
    </row>
    <row r="229" ht="15.75" customHeight="1" s="46">
      <c r="D229" s="22" t="n"/>
    </row>
    <row r="230" ht="15.75" customHeight="1" s="46">
      <c r="D230" s="22" t="n"/>
    </row>
    <row r="231" ht="15.75" customHeight="1" s="46">
      <c r="D231" s="22" t="n"/>
    </row>
    <row r="232" ht="15.75" customHeight="1" s="46">
      <c r="D232" s="22" t="n"/>
    </row>
    <row r="233" ht="15.75" customHeight="1" s="46">
      <c r="D233" s="22" t="n"/>
    </row>
    <row r="234" ht="15.75" customHeight="1" s="46">
      <c r="D234" s="22" t="n"/>
    </row>
    <row r="235" ht="15.75" customHeight="1" s="46">
      <c r="D235" s="22" t="n"/>
    </row>
    <row r="236" ht="15.75" customHeight="1" s="46">
      <c r="D236" s="22" t="n"/>
    </row>
    <row r="237" ht="15.75" customHeight="1" s="46">
      <c r="D237" s="22" t="n"/>
    </row>
    <row r="238" ht="15.75" customHeight="1" s="46">
      <c r="D238" s="22" t="n"/>
    </row>
    <row r="239" ht="15.75" customHeight="1" s="46">
      <c r="D239" s="22" t="n"/>
    </row>
    <row r="240" ht="15.75" customHeight="1" s="46">
      <c r="D240" s="22" t="n"/>
    </row>
    <row r="241" ht="15.75" customHeight="1" s="46">
      <c r="D241" s="22" t="n"/>
    </row>
    <row r="242" ht="15.75" customHeight="1" s="46">
      <c r="D242" s="22" t="n"/>
    </row>
    <row r="243" ht="15.75" customHeight="1" s="46">
      <c r="D243" s="22" t="n"/>
    </row>
    <row r="244" ht="15.75" customHeight="1" s="46">
      <c r="D244" s="22" t="n"/>
    </row>
    <row r="245" ht="15.75" customHeight="1" s="46">
      <c r="D245" s="22" t="n"/>
    </row>
    <row r="246" ht="15.75" customHeight="1" s="46">
      <c r="D246" s="22" t="n"/>
    </row>
    <row r="247" ht="15.75" customHeight="1" s="46">
      <c r="D247" s="22" t="n"/>
    </row>
    <row r="248" ht="15.75" customHeight="1" s="46">
      <c r="D248" s="22" t="n"/>
    </row>
    <row r="249" ht="15.75" customHeight="1" s="46">
      <c r="D249" s="22" t="n"/>
    </row>
    <row r="250" ht="15.75" customHeight="1" s="46">
      <c r="D250" s="22" t="n"/>
    </row>
    <row r="251" ht="15.75" customHeight="1" s="46">
      <c r="D251" s="22" t="n"/>
    </row>
    <row r="252" ht="15.75" customHeight="1" s="46">
      <c r="D252" s="22" t="n"/>
    </row>
    <row r="253" ht="15.75" customHeight="1" s="46">
      <c r="D253" s="22" t="n"/>
    </row>
    <row r="254" ht="15.75" customHeight="1" s="46">
      <c r="D254" s="22" t="n"/>
    </row>
    <row r="255" ht="15.75" customHeight="1" s="46">
      <c r="D255" s="22" t="n"/>
    </row>
    <row r="256" ht="15.75" customHeight="1" s="46">
      <c r="D256" s="22" t="n"/>
    </row>
    <row r="257" ht="15.75" customHeight="1" s="46">
      <c r="D257" s="22" t="n"/>
    </row>
    <row r="258" ht="15.75" customHeight="1" s="46">
      <c r="D258" s="22" t="n"/>
    </row>
    <row r="259" ht="15.75" customHeight="1" s="46">
      <c r="D259" s="22" t="n"/>
    </row>
    <row r="260" ht="15.75" customHeight="1" s="46">
      <c r="D260" s="22" t="n"/>
    </row>
    <row r="261" ht="15.75" customHeight="1" s="46">
      <c r="D261" s="22" t="n"/>
    </row>
    <row r="262" ht="15.75" customHeight="1" s="46">
      <c r="D262" s="22" t="n"/>
    </row>
    <row r="263" ht="15.75" customHeight="1" s="46">
      <c r="D263" s="22" t="n"/>
    </row>
    <row r="264" ht="15.75" customHeight="1" s="46">
      <c r="D264" s="22" t="n"/>
    </row>
    <row r="265" ht="15.75" customHeight="1" s="46">
      <c r="D265" s="22" t="n"/>
    </row>
    <row r="266" ht="15.75" customHeight="1" s="46">
      <c r="D266" s="22" t="n"/>
    </row>
    <row r="267" ht="15.75" customHeight="1" s="46">
      <c r="D267" s="22" t="n"/>
    </row>
    <row r="268" ht="15.75" customHeight="1" s="46">
      <c r="D268" s="22" t="n"/>
    </row>
    <row r="269" ht="15.75" customHeight="1" s="46">
      <c r="D269" s="22" t="n"/>
    </row>
    <row r="270" ht="15.75" customHeight="1" s="46">
      <c r="D270" s="22" t="n"/>
    </row>
    <row r="271" ht="15.75" customHeight="1" s="46">
      <c r="D271" s="22" t="n"/>
    </row>
    <row r="272" ht="15.75" customHeight="1" s="46">
      <c r="D272" s="22" t="n"/>
    </row>
    <row r="273" ht="15.75" customHeight="1" s="46">
      <c r="D273" s="22" t="n"/>
    </row>
    <row r="274" ht="15.75" customHeight="1" s="46">
      <c r="D274" s="22" t="n"/>
    </row>
    <row r="275" ht="15.75" customHeight="1" s="46">
      <c r="D275" s="22" t="n"/>
    </row>
    <row r="276" ht="15.75" customHeight="1" s="46">
      <c r="D276" s="22" t="n"/>
    </row>
    <row r="277" ht="15.75" customHeight="1" s="46">
      <c r="D277" s="22" t="n"/>
    </row>
    <row r="278" ht="15.75" customHeight="1" s="46">
      <c r="D278" s="22" t="n"/>
    </row>
    <row r="279" ht="15.75" customHeight="1" s="46">
      <c r="D279" s="22" t="n"/>
    </row>
    <row r="280" ht="15.75" customHeight="1" s="46">
      <c r="D280" s="22" t="n"/>
    </row>
    <row r="281" ht="15.75" customHeight="1" s="46">
      <c r="D281" s="22" t="n"/>
    </row>
    <row r="282" ht="15.75" customHeight="1" s="46">
      <c r="D282" s="22" t="n"/>
    </row>
    <row r="283" ht="15.75" customHeight="1" s="46">
      <c r="D283" s="22" t="n"/>
    </row>
    <row r="284" ht="15.75" customHeight="1" s="46">
      <c r="D284" s="22" t="n"/>
    </row>
    <row r="285" ht="15.75" customHeight="1" s="46">
      <c r="D285" s="22" t="n"/>
    </row>
    <row r="286" ht="15.75" customHeight="1" s="46">
      <c r="D286" s="22" t="n"/>
    </row>
    <row r="287" ht="15.75" customHeight="1" s="46">
      <c r="D287" s="22" t="n"/>
    </row>
    <row r="288" ht="15.75" customHeight="1" s="46">
      <c r="D288" s="22" t="n"/>
    </row>
    <row r="289" ht="15.75" customHeight="1" s="46">
      <c r="D289" s="22" t="n"/>
    </row>
    <row r="290" ht="15.75" customHeight="1" s="46">
      <c r="D290" s="22" t="n"/>
    </row>
    <row r="291" ht="15.75" customHeight="1" s="46">
      <c r="D291" s="22" t="n"/>
    </row>
    <row r="292" ht="15.75" customHeight="1" s="46">
      <c r="D292" s="22" t="n"/>
    </row>
    <row r="293" ht="15.75" customHeight="1" s="46">
      <c r="D293" s="22" t="n"/>
    </row>
    <row r="294" ht="15.75" customHeight="1" s="46">
      <c r="D294" s="22" t="n"/>
    </row>
    <row r="295" ht="15.75" customHeight="1" s="46">
      <c r="D295" s="22" t="n"/>
    </row>
    <row r="296" ht="15.75" customHeight="1" s="46">
      <c r="D296" s="22" t="n"/>
    </row>
    <row r="297" ht="15.75" customHeight="1" s="46">
      <c r="D297" s="22" t="n"/>
    </row>
    <row r="298" ht="15.75" customHeight="1" s="46">
      <c r="D298" s="22" t="n"/>
    </row>
    <row r="299" ht="15.75" customHeight="1" s="46">
      <c r="D299" s="22" t="n"/>
    </row>
    <row r="300" ht="15.75" customHeight="1" s="46">
      <c r="D300" s="22" t="n"/>
    </row>
    <row r="301" ht="15.75" customHeight="1" s="46">
      <c r="D301" s="22" t="n"/>
    </row>
    <row r="302" ht="15.75" customHeight="1" s="46">
      <c r="D302" s="22" t="n"/>
    </row>
    <row r="303" ht="15.75" customHeight="1" s="46">
      <c r="D303" s="22" t="n"/>
    </row>
    <row r="304" ht="15.75" customHeight="1" s="46">
      <c r="D304" s="22" t="n"/>
    </row>
    <row r="305" ht="15.75" customHeight="1" s="46">
      <c r="D305" s="22" t="n"/>
    </row>
    <row r="306" ht="15.75" customHeight="1" s="46">
      <c r="D306" s="22" t="n"/>
    </row>
    <row r="307" ht="15.75" customHeight="1" s="46">
      <c r="D307" s="22" t="n"/>
    </row>
    <row r="308" ht="15.75" customHeight="1" s="46">
      <c r="D308" s="22" t="n"/>
    </row>
    <row r="309" ht="15.75" customHeight="1" s="46">
      <c r="D309" s="22" t="n"/>
    </row>
    <row r="310" ht="15.75" customHeight="1" s="46">
      <c r="D310" s="22" t="n"/>
    </row>
    <row r="311" ht="15.75" customHeight="1" s="46">
      <c r="D311" s="22" t="n"/>
    </row>
    <row r="312" ht="15.75" customHeight="1" s="46">
      <c r="D312" s="22" t="n"/>
    </row>
    <row r="313" ht="15.75" customHeight="1" s="46">
      <c r="D313" s="22" t="n"/>
    </row>
    <row r="314" ht="15.75" customHeight="1" s="46">
      <c r="D314" s="22" t="n"/>
    </row>
    <row r="315" ht="15.75" customHeight="1" s="46">
      <c r="D315" s="22" t="n"/>
    </row>
    <row r="316" ht="15.75" customHeight="1" s="46">
      <c r="D316" s="22" t="n"/>
    </row>
    <row r="317" ht="15.75" customHeight="1" s="46">
      <c r="D317" s="22" t="n"/>
    </row>
    <row r="318" ht="15.75" customHeight="1" s="46">
      <c r="D318" s="22" t="n"/>
    </row>
    <row r="319" ht="15.75" customHeight="1" s="46">
      <c r="D319" s="22" t="n"/>
    </row>
    <row r="320" ht="15.75" customHeight="1" s="46">
      <c r="D320" s="22" t="n"/>
    </row>
    <row r="321" ht="15.75" customHeight="1" s="46">
      <c r="D321" s="22" t="n"/>
    </row>
    <row r="322" ht="15.75" customHeight="1" s="46">
      <c r="D322" s="22" t="n"/>
    </row>
    <row r="323" ht="15.75" customHeight="1" s="46">
      <c r="D323" s="22" t="n"/>
    </row>
    <row r="324" ht="15.75" customHeight="1" s="46">
      <c r="D324" s="22" t="n"/>
    </row>
    <row r="325" ht="15.75" customHeight="1" s="46">
      <c r="D325" s="22" t="n"/>
    </row>
    <row r="326" ht="15.75" customHeight="1" s="46">
      <c r="D326" s="22" t="n"/>
    </row>
    <row r="327" ht="15.75" customHeight="1" s="46">
      <c r="D327" s="22" t="n"/>
    </row>
    <row r="328" ht="15.75" customHeight="1" s="46">
      <c r="D328" s="22" t="n"/>
    </row>
    <row r="329" ht="15.75" customHeight="1" s="46">
      <c r="D329" s="22" t="n"/>
    </row>
    <row r="330" ht="15.75" customHeight="1" s="46">
      <c r="D330" s="22" t="n"/>
    </row>
    <row r="331" ht="15.75" customHeight="1" s="46">
      <c r="D331" s="22" t="n"/>
    </row>
    <row r="332" ht="15.75" customHeight="1" s="46">
      <c r="D332" s="22" t="n"/>
    </row>
    <row r="333" ht="15.75" customHeight="1" s="46">
      <c r="D333" s="22" t="n"/>
    </row>
    <row r="334" ht="15.75" customHeight="1" s="46">
      <c r="D334" s="22" t="n"/>
    </row>
    <row r="335" ht="15.75" customHeight="1" s="46">
      <c r="D335" s="22" t="n"/>
    </row>
    <row r="336" ht="15.75" customHeight="1" s="46">
      <c r="D336" s="22" t="n"/>
    </row>
    <row r="337" ht="15.75" customHeight="1" s="46">
      <c r="D337" s="22" t="n"/>
    </row>
    <row r="338" ht="15.75" customHeight="1" s="46">
      <c r="D338" s="22" t="n"/>
    </row>
    <row r="339" ht="15.75" customHeight="1" s="46">
      <c r="D339" s="22" t="n"/>
    </row>
    <row r="340" ht="15.75" customHeight="1" s="46">
      <c r="D340" s="22" t="n"/>
    </row>
    <row r="341" ht="15.75" customHeight="1" s="46">
      <c r="D341" s="22" t="n"/>
    </row>
    <row r="342" ht="15.75" customHeight="1" s="46">
      <c r="D342" s="22" t="n"/>
    </row>
    <row r="343" ht="15.75" customHeight="1" s="46">
      <c r="D343" s="22" t="n"/>
    </row>
    <row r="344" ht="15.75" customHeight="1" s="46">
      <c r="D344" s="22" t="n"/>
    </row>
    <row r="345" ht="15.75" customHeight="1" s="46">
      <c r="D345" s="22" t="n"/>
    </row>
    <row r="346" ht="15.75" customHeight="1" s="46">
      <c r="D346" s="22" t="n"/>
    </row>
    <row r="347" ht="15.75" customHeight="1" s="46">
      <c r="D347" s="22" t="n"/>
    </row>
    <row r="348" ht="15.75" customHeight="1" s="46">
      <c r="D348" s="22" t="n"/>
    </row>
    <row r="349" ht="15.75" customHeight="1" s="46">
      <c r="D349" s="22" t="n"/>
    </row>
    <row r="350" ht="15.75" customHeight="1" s="46">
      <c r="D350" s="22" t="n"/>
    </row>
    <row r="351" ht="15.75" customHeight="1" s="46">
      <c r="D351" s="22" t="n"/>
    </row>
    <row r="352" ht="15.75" customHeight="1" s="46">
      <c r="D352" s="22" t="n"/>
    </row>
    <row r="353" ht="15.75" customHeight="1" s="46">
      <c r="D353" s="22" t="n"/>
    </row>
    <row r="354" ht="15.75" customHeight="1" s="46">
      <c r="D354" s="22" t="n"/>
    </row>
    <row r="355" ht="15.75" customHeight="1" s="46">
      <c r="D355" s="22" t="n"/>
    </row>
    <row r="356" ht="15.75" customHeight="1" s="46">
      <c r="D356" s="22" t="n"/>
    </row>
    <row r="357" ht="15.75" customHeight="1" s="46">
      <c r="D357" s="22" t="n"/>
    </row>
    <row r="358" ht="15.75" customHeight="1" s="46">
      <c r="D358" s="22" t="n"/>
    </row>
    <row r="359" ht="15.75" customHeight="1" s="46">
      <c r="D359" s="22" t="n"/>
    </row>
    <row r="360" ht="15.75" customHeight="1" s="46">
      <c r="D360" s="22" t="n"/>
    </row>
    <row r="361" ht="15.75" customHeight="1" s="46">
      <c r="D361" s="22" t="n"/>
    </row>
    <row r="362" ht="15.75" customHeight="1" s="46">
      <c r="D362" s="22" t="n"/>
    </row>
    <row r="363" ht="15.75" customHeight="1" s="46">
      <c r="D363" s="22" t="n"/>
    </row>
    <row r="364" ht="15.75" customHeight="1" s="46">
      <c r="D364" s="22" t="n"/>
    </row>
    <row r="365" ht="15.75" customHeight="1" s="46">
      <c r="D365" s="22" t="n"/>
    </row>
    <row r="366" ht="15.75" customHeight="1" s="46">
      <c r="D366" s="22" t="n"/>
    </row>
    <row r="367" ht="15.75" customHeight="1" s="46">
      <c r="D367" s="22" t="n"/>
    </row>
    <row r="368" ht="15.75" customHeight="1" s="46">
      <c r="D368" s="22" t="n"/>
    </row>
    <row r="369" ht="15.75" customHeight="1" s="46">
      <c r="D369" s="22" t="n"/>
    </row>
    <row r="370" ht="15.75" customHeight="1" s="46">
      <c r="D370" s="22" t="n"/>
    </row>
    <row r="371" ht="15.75" customHeight="1" s="46">
      <c r="D371" s="22" t="n"/>
    </row>
    <row r="372" ht="15.75" customHeight="1" s="46">
      <c r="D372" s="22" t="n"/>
    </row>
    <row r="373" ht="15.75" customHeight="1" s="46">
      <c r="D373" s="22" t="n"/>
    </row>
    <row r="374" ht="15.75" customHeight="1" s="46">
      <c r="D374" s="22" t="n"/>
    </row>
    <row r="375" ht="15.75" customHeight="1" s="46">
      <c r="D375" s="22" t="n"/>
    </row>
    <row r="376" ht="15.75" customHeight="1" s="46">
      <c r="D376" s="22" t="n"/>
    </row>
    <row r="377" ht="15.75" customHeight="1" s="46">
      <c r="D377" s="22" t="n"/>
    </row>
    <row r="378" ht="15.75" customHeight="1" s="46">
      <c r="D378" s="22" t="n"/>
    </row>
    <row r="379" ht="15.75" customHeight="1" s="46">
      <c r="D379" s="22" t="n"/>
    </row>
    <row r="380" ht="15.75" customHeight="1" s="46">
      <c r="D380" s="22" t="n"/>
    </row>
    <row r="381" ht="15.75" customHeight="1" s="46">
      <c r="D381" s="22" t="n"/>
    </row>
    <row r="382" ht="15.75" customHeight="1" s="46">
      <c r="D382" s="22" t="n"/>
    </row>
    <row r="383" ht="15.75" customHeight="1" s="46">
      <c r="D383" s="22" t="n"/>
    </row>
    <row r="384" ht="15.75" customHeight="1" s="46">
      <c r="D384" s="22" t="n"/>
    </row>
    <row r="385" ht="15.75" customHeight="1" s="46">
      <c r="D385" s="22" t="n"/>
    </row>
    <row r="386" ht="15.75" customHeight="1" s="46">
      <c r="D386" s="22" t="n"/>
    </row>
    <row r="387" ht="15.75" customHeight="1" s="46">
      <c r="D387" s="22" t="n"/>
    </row>
    <row r="388" ht="15.75" customHeight="1" s="46">
      <c r="D388" s="22" t="n"/>
    </row>
    <row r="389" ht="15.75" customHeight="1" s="46">
      <c r="D389" s="22" t="n"/>
    </row>
    <row r="390" ht="15.75" customHeight="1" s="46">
      <c r="D390" s="22" t="n"/>
    </row>
    <row r="391" ht="15.75" customHeight="1" s="46">
      <c r="D391" s="22" t="n"/>
    </row>
    <row r="392" ht="15.75" customHeight="1" s="46">
      <c r="D392" s="22" t="n"/>
    </row>
    <row r="393" ht="15.75" customHeight="1" s="46">
      <c r="D393" s="22" t="n"/>
    </row>
    <row r="394" ht="15.75" customHeight="1" s="46">
      <c r="D394" s="22" t="n"/>
    </row>
    <row r="395" ht="15.75" customHeight="1" s="46">
      <c r="D395" s="22" t="n"/>
    </row>
    <row r="396" ht="15.75" customHeight="1" s="46">
      <c r="D396" s="22" t="n"/>
    </row>
    <row r="397" ht="15.75" customHeight="1" s="46">
      <c r="D397" s="22" t="n"/>
    </row>
    <row r="398" ht="15.75" customHeight="1" s="46">
      <c r="D398" s="22" t="n"/>
    </row>
    <row r="399" ht="15.75" customHeight="1" s="46">
      <c r="D399" s="22" t="n"/>
    </row>
    <row r="400" ht="15.75" customHeight="1" s="46">
      <c r="D400" s="22" t="n"/>
    </row>
    <row r="401" ht="15.75" customHeight="1" s="46">
      <c r="D401" s="22" t="n"/>
    </row>
    <row r="402" ht="15.75" customHeight="1" s="46">
      <c r="D402" s="22" t="n"/>
    </row>
    <row r="403" ht="15.75" customHeight="1" s="46">
      <c r="D403" s="22" t="n"/>
    </row>
    <row r="404" ht="15.75" customHeight="1" s="46">
      <c r="D404" s="22" t="n"/>
    </row>
    <row r="405" ht="15.75" customHeight="1" s="46">
      <c r="D405" s="22" t="n"/>
    </row>
    <row r="406" ht="15.75" customHeight="1" s="46">
      <c r="D406" s="22" t="n"/>
    </row>
    <row r="407" ht="15.75" customHeight="1" s="46">
      <c r="D407" s="22" t="n"/>
    </row>
    <row r="408" ht="15.75" customHeight="1" s="46">
      <c r="D408" s="22" t="n"/>
    </row>
    <row r="409" ht="15.75" customHeight="1" s="46">
      <c r="D409" s="22" t="n"/>
    </row>
    <row r="410" ht="15.75" customHeight="1" s="46">
      <c r="D410" s="22" t="n"/>
    </row>
    <row r="411" ht="15.75" customHeight="1" s="46">
      <c r="D411" s="22" t="n"/>
    </row>
    <row r="412" ht="15.75" customHeight="1" s="46">
      <c r="D412" s="22" t="n"/>
    </row>
    <row r="413" ht="15.75" customHeight="1" s="46">
      <c r="D413" s="22" t="n"/>
    </row>
    <row r="414" ht="15.75" customHeight="1" s="46">
      <c r="D414" s="22" t="n"/>
    </row>
    <row r="415" ht="15.75" customHeight="1" s="46">
      <c r="D415" s="22" t="n"/>
    </row>
    <row r="416" ht="15.75" customHeight="1" s="46">
      <c r="D416" s="22" t="n"/>
    </row>
    <row r="417" ht="15.75" customHeight="1" s="46">
      <c r="D417" s="22" t="n"/>
    </row>
    <row r="418" ht="15.75" customHeight="1" s="46">
      <c r="D418" s="22" t="n"/>
    </row>
    <row r="419" ht="15.75" customHeight="1" s="46">
      <c r="D419" s="22" t="n"/>
    </row>
    <row r="420" ht="15.75" customHeight="1" s="46">
      <c r="D420" s="22" t="n"/>
    </row>
    <row r="421" ht="15.75" customHeight="1" s="46">
      <c r="D421" s="22" t="n"/>
    </row>
    <row r="422" ht="15.75" customHeight="1" s="46">
      <c r="D422" s="22" t="n"/>
    </row>
    <row r="423" ht="15.75" customHeight="1" s="46">
      <c r="D423" s="22" t="n"/>
    </row>
    <row r="424" ht="15.75" customHeight="1" s="46">
      <c r="D424" s="22" t="n"/>
    </row>
    <row r="425" ht="15.75" customHeight="1" s="46">
      <c r="D425" s="22" t="n"/>
    </row>
    <row r="426" ht="15.75" customHeight="1" s="46">
      <c r="D426" s="22" t="n"/>
    </row>
    <row r="427" ht="15.75" customHeight="1" s="46">
      <c r="D427" s="22" t="n"/>
    </row>
    <row r="428" ht="15.75" customHeight="1" s="46">
      <c r="D428" s="22" t="n"/>
    </row>
    <row r="429" ht="15.75" customHeight="1" s="46">
      <c r="D429" s="22" t="n"/>
    </row>
    <row r="430" ht="15.75" customHeight="1" s="46">
      <c r="D430" s="22" t="n"/>
    </row>
    <row r="431" ht="15.75" customHeight="1" s="46">
      <c r="D431" s="22" t="n"/>
    </row>
    <row r="432" ht="15.75" customHeight="1" s="46">
      <c r="D432" s="22" t="n"/>
    </row>
    <row r="433" ht="15.75" customHeight="1" s="46">
      <c r="D433" s="22" t="n"/>
    </row>
    <row r="434" ht="15.75" customHeight="1" s="46">
      <c r="D434" s="22" t="n"/>
    </row>
    <row r="435" ht="15.75" customHeight="1" s="46">
      <c r="D435" s="22" t="n"/>
    </row>
    <row r="436" ht="15.75" customHeight="1" s="46">
      <c r="D436" s="22" t="n"/>
    </row>
    <row r="437" ht="15.75" customHeight="1" s="46">
      <c r="D437" s="22" t="n"/>
    </row>
    <row r="438" ht="15.75" customHeight="1" s="46">
      <c r="D438" s="22" t="n"/>
    </row>
    <row r="439" ht="15.75" customHeight="1" s="46">
      <c r="D439" s="22" t="n"/>
    </row>
    <row r="440" ht="15.75" customHeight="1" s="46">
      <c r="D440" s="22" t="n"/>
    </row>
    <row r="441" ht="15.75" customHeight="1" s="46">
      <c r="D441" s="22" t="n"/>
    </row>
    <row r="442" ht="15.75" customHeight="1" s="46">
      <c r="D442" s="22" t="n"/>
    </row>
    <row r="443" ht="15.75" customHeight="1" s="46">
      <c r="D443" s="22" t="n"/>
    </row>
    <row r="444" ht="15.75" customHeight="1" s="46">
      <c r="D444" s="22" t="n"/>
    </row>
    <row r="445" ht="15.75" customHeight="1" s="46">
      <c r="D445" s="22" t="n"/>
    </row>
    <row r="446" ht="15.75" customHeight="1" s="46">
      <c r="D446" s="22" t="n"/>
    </row>
    <row r="447" ht="15.75" customHeight="1" s="46">
      <c r="D447" s="22" t="n"/>
    </row>
    <row r="448" ht="15.75" customHeight="1" s="46">
      <c r="D448" s="22" t="n"/>
    </row>
    <row r="449" ht="15.75" customHeight="1" s="46">
      <c r="D449" s="22" t="n"/>
    </row>
    <row r="450" ht="15.75" customHeight="1" s="46">
      <c r="D450" s="22" t="n"/>
    </row>
    <row r="451" ht="15.75" customHeight="1" s="46">
      <c r="D451" s="22" t="n"/>
    </row>
    <row r="452" ht="15.75" customHeight="1" s="46">
      <c r="D452" s="22" t="n"/>
    </row>
    <row r="453" ht="15.75" customHeight="1" s="46">
      <c r="D453" s="22" t="n"/>
    </row>
    <row r="454" ht="15.75" customHeight="1" s="46">
      <c r="D454" s="22" t="n"/>
    </row>
    <row r="455" ht="15.75" customHeight="1" s="46">
      <c r="D455" s="22" t="n"/>
    </row>
    <row r="456" ht="15.75" customHeight="1" s="46">
      <c r="D456" s="22" t="n"/>
    </row>
    <row r="457" ht="15.75" customHeight="1" s="46">
      <c r="D457" s="22" t="n"/>
    </row>
    <row r="458" ht="15.75" customHeight="1" s="46">
      <c r="D458" s="22" t="n"/>
    </row>
    <row r="459" ht="15.75" customHeight="1" s="46">
      <c r="D459" s="22" t="n"/>
    </row>
    <row r="460" ht="15.75" customHeight="1" s="46">
      <c r="D460" s="22" t="n"/>
    </row>
    <row r="461" ht="15.75" customHeight="1" s="46">
      <c r="D461" s="22" t="n"/>
    </row>
    <row r="462" ht="15.75" customHeight="1" s="46">
      <c r="D462" s="22" t="n"/>
    </row>
    <row r="463" ht="15.75" customHeight="1" s="46">
      <c r="D463" s="22" t="n"/>
    </row>
    <row r="464" ht="15.75" customHeight="1" s="46">
      <c r="D464" s="22" t="n"/>
    </row>
    <row r="465" ht="15.75" customHeight="1" s="46">
      <c r="D465" s="22" t="n"/>
    </row>
    <row r="466" ht="15.75" customHeight="1" s="46">
      <c r="D466" s="22" t="n"/>
    </row>
    <row r="467" ht="15.75" customHeight="1" s="46">
      <c r="D467" s="22" t="n"/>
    </row>
    <row r="468" ht="15.75" customHeight="1" s="46">
      <c r="D468" s="22" t="n"/>
    </row>
    <row r="469" ht="15.75" customHeight="1" s="46">
      <c r="D469" s="22" t="n"/>
    </row>
    <row r="470" ht="15.75" customHeight="1" s="46">
      <c r="D470" s="22" t="n"/>
    </row>
    <row r="471" ht="15.75" customHeight="1" s="46">
      <c r="D471" s="22" t="n"/>
    </row>
    <row r="472" ht="15.75" customHeight="1" s="46">
      <c r="D472" s="22" t="n"/>
    </row>
    <row r="473" ht="15.75" customHeight="1" s="46">
      <c r="D473" s="22" t="n"/>
    </row>
    <row r="474" ht="15.75" customHeight="1" s="46">
      <c r="D474" s="22" t="n"/>
    </row>
    <row r="475" ht="15.75" customHeight="1" s="46">
      <c r="D475" s="22" t="n"/>
    </row>
    <row r="476" ht="15.75" customHeight="1" s="46">
      <c r="D476" s="22" t="n"/>
    </row>
    <row r="477" ht="15.75" customHeight="1" s="46">
      <c r="D477" s="22" t="n"/>
    </row>
    <row r="478" ht="15.75" customHeight="1" s="46">
      <c r="D478" s="22" t="n"/>
    </row>
    <row r="479" ht="15.75" customHeight="1" s="46">
      <c r="D479" s="22" t="n"/>
    </row>
    <row r="480" ht="15.75" customHeight="1" s="46">
      <c r="D480" s="22" t="n"/>
    </row>
    <row r="481" ht="15.75" customHeight="1" s="46">
      <c r="D481" s="22" t="n"/>
    </row>
    <row r="482" ht="15.75" customHeight="1" s="46">
      <c r="D482" s="22" t="n"/>
    </row>
    <row r="483" ht="15.75" customHeight="1" s="46">
      <c r="D483" s="22" t="n"/>
    </row>
    <row r="484" ht="15.75" customHeight="1" s="46">
      <c r="D484" s="22" t="n"/>
    </row>
    <row r="485" ht="15.75" customHeight="1" s="46">
      <c r="D485" s="22" t="n"/>
    </row>
    <row r="486" ht="15.75" customHeight="1" s="46">
      <c r="D486" s="22" t="n"/>
    </row>
    <row r="487" ht="15.75" customHeight="1" s="46">
      <c r="D487" s="22" t="n"/>
    </row>
    <row r="488" ht="15.75" customHeight="1" s="46">
      <c r="D488" s="22" t="n"/>
    </row>
    <row r="489" ht="15.75" customHeight="1" s="46">
      <c r="D489" s="22" t="n"/>
    </row>
    <row r="490" ht="15.75" customHeight="1" s="46">
      <c r="D490" s="22" t="n"/>
    </row>
    <row r="491" ht="15.75" customHeight="1" s="46">
      <c r="D491" s="22" t="n"/>
    </row>
    <row r="492" ht="15.75" customHeight="1" s="46">
      <c r="D492" s="22" t="n"/>
    </row>
    <row r="493" ht="15.75" customHeight="1" s="46">
      <c r="D493" s="22" t="n"/>
    </row>
    <row r="494" ht="15.75" customHeight="1" s="46">
      <c r="D494" s="22" t="n"/>
    </row>
    <row r="495" ht="15.75" customHeight="1" s="46">
      <c r="D495" s="22" t="n"/>
    </row>
    <row r="496" ht="15.75" customHeight="1" s="46">
      <c r="D496" s="22" t="n"/>
    </row>
    <row r="497" ht="15.75" customHeight="1" s="46">
      <c r="D497" s="22" t="n"/>
    </row>
    <row r="498" ht="15.75" customHeight="1" s="46">
      <c r="D498" s="22" t="n"/>
    </row>
    <row r="499" ht="15.75" customHeight="1" s="46">
      <c r="D499" s="22" t="n"/>
    </row>
    <row r="500" ht="15.75" customHeight="1" s="46">
      <c r="D500" s="22" t="n"/>
    </row>
    <row r="501" ht="15.75" customHeight="1" s="46">
      <c r="D501" s="22" t="n"/>
    </row>
    <row r="502" ht="15.75" customHeight="1" s="46">
      <c r="D502" s="22" t="n"/>
    </row>
    <row r="503" ht="15.75" customHeight="1" s="46">
      <c r="D503" s="22" t="n"/>
    </row>
    <row r="504" ht="15.75" customHeight="1" s="46">
      <c r="D504" s="22" t="n"/>
    </row>
    <row r="505" ht="15.75" customHeight="1" s="46">
      <c r="D505" s="22" t="n"/>
    </row>
    <row r="506" ht="15.75" customHeight="1" s="46">
      <c r="D506" s="22" t="n"/>
    </row>
    <row r="507" ht="15.75" customHeight="1" s="46">
      <c r="D507" s="22" t="n"/>
    </row>
    <row r="508" ht="15.75" customHeight="1" s="46">
      <c r="D508" s="22" t="n"/>
    </row>
    <row r="509" ht="15.75" customHeight="1" s="46">
      <c r="D509" s="22" t="n"/>
    </row>
    <row r="510" ht="15.75" customHeight="1" s="46">
      <c r="D510" s="22" t="n"/>
    </row>
    <row r="511" ht="15.75" customHeight="1" s="46">
      <c r="D511" s="22" t="n"/>
    </row>
    <row r="512" ht="15.75" customHeight="1" s="46">
      <c r="D512" s="22" t="n"/>
    </row>
    <row r="513" ht="15.75" customHeight="1" s="46">
      <c r="D513" s="22" t="n"/>
    </row>
    <row r="514" ht="15.75" customHeight="1" s="46">
      <c r="D514" s="22" t="n"/>
    </row>
    <row r="515" ht="15.75" customHeight="1" s="46">
      <c r="D515" s="22" t="n"/>
    </row>
    <row r="516" ht="15.75" customHeight="1" s="46">
      <c r="D516" s="22" t="n"/>
    </row>
    <row r="517" ht="15.75" customHeight="1" s="46">
      <c r="D517" s="22" t="n"/>
    </row>
    <row r="518" ht="15.75" customHeight="1" s="46">
      <c r="D518" s="22" t="n"/>
    </row>
    <row r="519" ht="15.75" customHeight="1" s="46">
      <c r="D519" s="22" t="n"/>
    </row>
    <row r="520" ht="15.75" customHeight="1" s="46">
      <c r="D520" s="22" t="n"/>
    </row>
    <row r="521" ht="15.75" customHeight="1" s="46">
      <c r="D521" s="22" t="n"/>
    </row>
    <row r="522" ht="15.75" customHeight="1" s="46">
      <c r="D522" s="22" t="n"/>
    </row>
    <row r="523" ht="15.75" customHeight="1" s="46">
      <c r="D523" s="22" t="n"/>
    </row>
    <row r="524" ht="15.75" customHeight="1" s="46">
      <c r="D524" s="22" t="n"/>
    </row>
    <row r="525" ht="15.75" customHeight="1" s="46">
      <c r="D525" s="22" t="n"/>
    </row>
    <row r="526" ht="15.75" customHeight="1" s="46">
      <c r="D526" s="22" t="n"/>
    </row>
    <row r="527" ht="15.75" customHeight="1" s="46">
      <c r="D527" s="22" t="n"/>
    </row>
    <row r="528" ht="15.75" customHeight="1" s="46">
      <c r="D528" s="22" t="n"/>
    </row>
    <row r="529" ht="15.75" customHeight="1" s="46">
      <c r="D529" s="22" t="n"/>
    </row>
    <row r="530" ht="15.75" customHeight="1" s="46">
      <c r="D530" s="22" t="n"/>
    </row>
    <row r="531" ht="15.75" customHeight="1" s="46">
      <c r="D531" s="22" t="n"/>
    </row>
    <row r="532" ht="15.75" customHeight="1" s="46">
      <c r="D532" s="22" t="n"/>
    </row>
    <row r="533" ht="15.75" customHeight="1" s="46">
      <c r="D533" s="22" t="n"/>
    </row>
    <row r="534" ht="15.75" customHeight="1" s="46">
      <c r="D534" s="22" t="n"/>
    </row>
    <row r="535" ht="15.75" customHeight="1" s="46">
      <c r="D535" s="22" t="n"/>
    </row>
    <row r="536" ht="15.75" customHeight="1" s="46">
      <c r="D536" s="22" t="n"/>
    </row>
    <row r="537" ht="15.75" customHeight="1" s="46">
      <c r="D537" s="22" t="n"/>
    </row>
    <row r="538" ht="15.75" customHeight="1" s="46">
      <c r="D538" s="22" t="n"/>
    </row>
    <row r="539" ht="15.75" customHeight="1" s="46">
      <c r="D539" s="22" t="n"/>
    </row>
    <row r="540" ht="15.75" customHeight="1" s="46">
      <c r="D540" s="22" t="n"/>
    </row>
    <row r="541" ht="15.75" customHeight="1" s="46">
      <c r="D541" s="22" t="n"/>
    </row>
    <row r="542" ht="15.75" customHeight="1" s="46">
      <c r="D542" s="22" t="n"/>
    </row>
    <row r="543" ht="15.75" customHeight="1" s="46">
      <c r="D543" s="22" t="n"/>
    </row>
    <row r="544" ht="15.75" customHeight="1" s="46">
      <c r="D544" s="22" t="n"/>
    </row>
    <row r="545" ht="15.75" customHeight="1" s="46">
      <c r="D545" s="22" t="n"/>
    </row>
    <row r="546" ht="15.75" customHeight="1" s="46">
      <c r="D546" s="22" t="n"/>
    </row>
    <row r="547" ht="15.75" customHeight="1" s="46">
      <c r="D547" s="22" t="n"/>
    </row>
    <row r="548" ht="15.75" customHeight="1" s="46">
      <c r="D548" s="22" t="n"/>
    </row>
    <row r="549" ht="15.75" customHeight="1" s="46">
      <c r="D549" s="22" t="n"/>
    </row>
    <row r="550" ht="15.75" customHeight="1" s="46">
      <c r="D550" s="22" t="n"/>
    </row>
    <row r="551" ht="15.75" customHeight="1" s="46">
      <c r="D551" s="22" t="n"/>
    </row>
    <row r="552" ht="15.75" customHeight="1" s="46">
      <c r="D552" s="22" t="n"/>
    </row>
    <row r="553" ht="15.75" customHeight="1" s="46">
      <c r="D553" s="22" t="n"/>
    </row>
    <row r="554" ht="15.75" customHeight="1" s="46">
      <c r="D554" s="22" t="n"/>
    </row>
    <row r="555" ht="15.75" customHeight="1" s="46">
      <c r="D555" s="22" t="n"/>
    </row>
    <row r="556" ht="15.75" customHeight="1" s="46">
      <c r="D556" s="22" t="n"/>
    </row>
    <row r="557" ht="15.75" customHeight="1" s="46">
      <c r="D557" s="22" t="n"/>
    </row>
    <row r="558" ht="15.75" customHeight="1" s="46">
      <c r="D558" s="22" t="n"/>
    </row>
    <row r="559" ht="15.75" customHeight="1" s="46">
      <c r="D559" s="22" t="n"/>
    </row>
    <row r="560" ht="15.75" customHeight="1" s="46">
      <c r="D560" s="22" t="n"/>
    </row>
    <row r="561" ht="15.75" customHeight="1" s="46">
      <c r="D561" s="22" t="n"/>
    </row>
    <row r="562" ht="15.75" customHeight="1" s="46">
      <c r="D562" s="22" t="n"/>
    </row>
    <row r="563" ht="15.75" customHeight="1" s="46">
      <c r="D563" s="22" t="n"/>
    </row>
    <row r="564" ht="15.75" customHeight="1" s="46">
      <c r="D564" s="22" t="n"/>
    </row>
    <row r="565" ht="15.75" customHeight="1" s="46">
      <c r="D565" s="22" t="n"/>
    </row>
    <row r="566" ht="15.75" customHeight="1" s="46">
      <c r="D566" s="22" t="n"/>
    </row>
    <row r="567" ht="15.75" customHeight="1" s="46">
      <c r="D567" s="22" t="n"/>
    </row>
    <row r="568" ht="15.75" customHeight="1" s="46">
      <c r="D568" s="22" t="n"/>
    </row>
    <row r="569" ht="15.75" customHeight="1" s="46">
      <c r="D569" s="22" t="n"/>
    </row>
    <row r="570" ht="15.75" customHeight="1" s="46">
      <c r="D570" s="22" t="n"/>
    </row>
    <row r="571" ht="15.75" customHeight="1" s="46">
      <c r="D571" s="22" t="n"/>
    </row>
    <row r="572" ht="15.75" customHeight="1" s="46">
      <c r="D572" s="22" t="n"/>
    </row>
    <row r="573" ht="15.75" customHeight="1" s="46">
      <c r="D573" s="22" t="n"/>
    </row>
    <row r="574" ht="15.75" customHeight="1" s="46">
      <c r="D574" s="22" t="n"/>
    </row>
    <row r="575" ht="15.75" customHeight="1" s="46">
      <c r="D575" s="22" t="n"/>
    </row>
    <row r="576" ht="15.75" customHeight="1" s="46">
      <c r="D576" s="22" t="n"/>
    </row>
    <row r="577" ht="15.75" customHeight="1" s="46">
      <c r="D577" s="22" t="n"/>
    </row>
    <row r="578" ht="15.75" customHeight="1" s="46">
      <c r="D578" s="22" t="n"/>
    </row>
    <row r="579" ht="15.75" customHeight="1" s="46">
      <c r="D579" s="22" t="n"/>
    </row>
    <row r="580" ht="15.75" customHeight="1" s="46">
      <c r="D580" s="22" t="n"/>
    </row>
    <row r="581" ht="15.75" customHeight="1" s="46">
      <c r="D581" s="22" t="n"/>
    </row>
    <row r="582" ht="15.75" customHeight="1" s="46">
      <c r="D582" s="22" t="n"/>
    </row>
    <row r="583" ht="15.75" customHeight="1" s="46">
      <c r="D583" s="22" t="n"/>
    </row>
    <row r="584" ht="15.75" customHeight="1" s="46">
      <c r="D584" s="22" t="n"/>
    </row>
    <row r="585" ht="15.75" customHeight="1" s="46">
      <c r="D585" s="22" t="n"/>
    </row>
    <row r="586" ht="15.75" customHeight="1" s="46">
      <c r="D586" s="22" t="n"/>
    </row>
    <row r="587" ht="15.75" customHeight="1" s="46">
      <c r="D587" s="22" t="n"/>
    </row>
    <row r="588" ht="15.75" customHeight="1" s="46">
      <c r="D588" s="22" t="n"/>
    </row>
    <row r="589" ht="15.75" customHeight="1" s="46">
      <c r="D589" s="22" t="n"/>
    </row>
    <row r="590" ht="15.75" customHeight="1" s="46">
      <c r="D590" s="22" t="n"/>
    </row>
    <row r="591" ht="15.75" customHeight="1" s="46">
      <c r="D591" s="22" t="n"/>
    </row>
    <row r="592" ht="15.75" customHeight="1" s="46">
      <c r="D592" s="22" t="n"/>
    </row>
    <row r="593" ht="15.75" customHeight="1" s="46">
      <c r="D593" s="22" t="n"/>
    </row>
    <row r="594" ht="15.75" customHeight="1" s="46">
      <c r="D594" s="22" t="n"/>
    </row>
    <row r="595" ht="15.75" customHeight="1" s="46">
      <c r="D595" s="22" t="n"/>
    </row>
    <row r="596" ht="15.75" customHeight="1" s="46">
      <c r="D596" s="22" t="n"/>
    </row>
    <row r="597" ht="15.75" customHeight="1" s="46">
      <c r="D597" s="22" t="n"/>
    </row>
    <row r="598" ht="15.75" customHeight="1" s="46">
      <c r="D598" s="22" t="n"/>
    </row>
    <row r="599" ht="15.75" customHeight="1" s="46">
      <c r="D599" s="22" t="n"/>
    </row>
    <row r="600" ht="15.75" customHeight="1" s="46">
      <c r="D600" s="22" t="n"/>
    </row>
    <row r="601" ht="15.75" customHeight="1" s="46">
      <c r="D601" s="22" t="n"/>
    </row>
    <row r="602" ht="15.75" customHeight="1" s="46">
      <c r="D602" s="22" t="n"/>
    </row>
    <row r="603" ht="15.75" customHeight="1" s="46">
      <c r="D603" s="22" t="n"/>
    </row>
    <row r="604" ht="15.75" customHeight="1" s="46">
      <c r="D604" s="22" t="n"/>
    </row>
    <row r="605" ht="15.75" customHeight="1" s="46">
      <c r="D605" s="22" t="n"/>
    </row>
    <row r="606" ht="15.75" customHeight="1" s="46">
      <c r="D606" s="22" t="n"/>
    </row>
    <row r="607" ht="15.75" customHeight="1" s="46">
      <c r="D607" s="22" t="n"/>
    </row>
    <row r="608" ht="15.75" customHeight="1" s="46">
      <c r="D608" s="22" t="n"/>
    </row>
    <row r="609" ht="15.75" customHeight="1" s="46">
      <c r="D609" s="22" t="n"/>
    </row>
    <row r="610" ht="15.75" customHeight="1" s="46">
      <c r="D610" s="22" t="n"/>
    </row>
    <row r="611" ht="15.75" customHeight="1" s="46">
      <c r="D611" s="22" t="n"/>
    </row>
    <row r="612" ht="15.75" customHeight="1" s="46">
      <c r="D612" s="22" t="n"/>
    </row>
    <row r="613" ht="15.75" customHeight="1" s="46">
      <c r="D613" s="22" t="n"/>
    </row>
    <row r="614" ht="15.75" customHeight="1" s="46">
      <c r="D614" s="22" t="n"/>
    </row>
    <row r="615" ht="15.75" customHeight="1" s="46">
      <c r="D615" s="22" t="n"/>
    </row>
    <row r="616" ht="15.75" customHeight="1" s="46">
      <c r="D616" s="22" t="n"/>
    </row>
    <row r="617" ht="15.75" customHeight="1" s="46">
      <c r="D617" s="22" t="n"/>
    </row>
    <row r="618" ht="15.75" customHeight="1" s="46">
      <c r="D618" s="22" t="n"/>
    </row>
    <row r="619" ht="15.75" customHeight="1" s="46">
      <c r="D619" s="22" t="n"/>
    </row>
    <row r="620" ht="15.75" customHeight="1" s="46">
      <c r="D620" s="22" t="n"/>
    </row>
    <row r="621" ht="15.75" customHeight="1" s="46">
      <c r="D621" s="22" t="n"/>
    </row>
    <row r="622" ht="15.75" customHeight="1" s="46">
      <c r="D622" s="22" t="n"/>
    </row>
    <row r="623" ht="15.75" customHeight="1" s="46">
      <c r="D623" s="22" t="n"/>
    </row>
    <row r="624" ht="15.75" customHeight="1" s="46">
      <c r="D624" s="22" t="n"/>
    </row>
    <row r="625" ht="15.75" customHeight="1" s="46">
      <c r="D625" s="22" t="n"/>
    </row>
    <row r="626" ht="15.75" customHeight="1" s="46">
      <c r="D626" s="22" t="n"/>
    </row>
    <row r="627" ht="15.75" customHeight="1" s="46">
      <c r="D627" s="22" t="n"/>
    </row>
    <row r="628" ht="15.75" customHeight="1" s="46">
      <c r="D628" s="22" t="n"/>
    </row>
    <row r="629" ht="15.75" customHeight="1" s="46">
      <c r="D629" s="22" t="n"/>
    </row>
    <row r="630" ht="15.75" customHeight="1" s="46">
      <c r="D630" s="22" t="n"/>
    </row>
    <row r="631" ht="15.75" customHeight="1" s="46">
      <c r="D631" s="22" t="n"/>
    </row>
    <row r="632" ht="15.75" customHeight="1" s="46">
      <c r="D632" s="22" t="n"/>
    </row>
    <row r="633" ht="15.75" customHeight="1" s="46">
      <c r="D633" s="22" t="n"/>
    </row>
    <row r="634" ht="15.75" customHeight="1" s="46">
      <c r="D634" s="22" t="n"/>
    </row>
    <row r="635" ht="15.75" customHeight="1" s="46">
      <c r="D635" s="22" t="n"/>
    </row>
    <row r="636" ht="15.75" customHeight="1" s="46">
      <c r="D636" s="22" t="n"/>
    </row>
    <row r="637" ht="15.75" customHeight="1" s="46">
      <c r="D637" s="22" t="n"/>
    </row>
    <row r="638" ht="15.75" customHeight="1" s="46">
      <c r="D638" s="22" t="n"/>
    </row>
    <row r="639" ht="15.75" customHeight="1" s="46">
      <c r="D639" s="22" t="n"/>
    </row>
    <row r="640" ht="15.75" customHeight="1" s="46">
      <c r="D640" s="22" t="n"/>
    </row>
    <row r="641" ht="15.75" customHeight="1" s="46">
      <c r="D641" s="22" t="n"/>
    </row>
    <row r="642" ht="15.75" customHeight="1" s="46">
      <c r="D642" s="22" t="n"/>
    </row>
    <row r="643" ht="15.75" customHeight="1" s="46">
      <c r="D643" s="22" t="n"/>
    </row>
    <row r="644" ht="15.75" customHeight="1" s="46">
      <c r="D644" s="22" t="n"/>
    </row>
    <row r="645" ht="15.75" customHeight="1" s="46">
      <c r="D645" s="22" t="n"/>
    </row>
    <row r="646" ht="15.75" customHeight="1" s="46">
      <c r="D646" s="22" t="n"/>
    </row>
    <row r="647" ht="15.75" customHeight="1" s="46">
      <c r="D647" s="22" t="n"/>
    </row>
    <row r="648" ht="15.75" customHeight="1" s="46">
      <c r="D648" s="22" t="n"/>
    </row>
    <row r="649" ht="15.75" customHeight="1" s="46">
      <c r="D649" s="22" t="n"/>
    </row>
    <row r="650" ht="15.75" customHeight="1" s="46">
      <c r="D650" s="22" t="n"/>
    </row>
    <row r="651" ht="15.75" customHeight="1" s="46">
      <c r="D651" s="22" t="n"/>
    </row>
    <row r="652" ht="15.75" customHeight="1" s="46">
      <c r="D652" s="22" t="n"/>
    </row>
    <row r="653" ht="15.75" customHeight="1" s="46">
      <c r="D653" s="22" t="n"/>
    </row>
    <row r="654" ht="15.75" customHeight="1" s="46">
      <c r="D654" s="22" t="n"/>
    </row>
    <row r="655" ht="15.75" customHeight="1" s="46">
      <c r="D655" s="22" t="n"/>
    </row>
    <row r="656" ht="15.75" customHeight="1" s="46">
      <c r="D656" s="22" t="n"/>
    </row>
    <row r="657" ht="15.75" customHeight="1" s="46">
      <c r="D657" s="22" t="n"/>
    </row>
    <row r="658" ht="15.75" customHeight="1" s="46">
      <c r="D658" s="22" t="n"/>
    </row>
    <row r="659" ht="15.75" customHeight="1" s="46">
      <c r="D659" s="22" t="n"/>
    </row>
    <row r="660" ht="15.75" customHeight="1" s="46">
      <c r="D660" s="22" t="n"/>
    </row>
    <row r="661" ht="15.75" customHeight="1" s="46">
      <c r="D661" s="22" t="n"/>
    </row>
    <row r="662" ht="15.75" customHeight="1" s="46">
      <c r="D662" s="22" t="n"/>
    </row>
    <row r="663" ht="15.75" customHeight="1" s="46">
      <c r="D663" s="22" t="n"/>
    </row>
    <row r="664" ht="15.75" customHeight="1" s="46">
      <c r="D664" s="22" t="n"/>
    </row>
    <row r="665" ht="15.75" customHeight="1" s="46">
      <c r="D665" s="22" t="n"/>
    </row>
    <row r="666" ht="15.75" customHeight="1" s="46">
      <c r="D666" s="22" t="n"/>
    </row>
    <row r="667" ht="15.75" customHeight="1" s="46">
      <c r="D667" s="22" t="n"/>
    </row>
    <row r="668" ht="15.75" customHeight="1" s="46">
      <c r="D668" s="22" t="n"/>
    </row>
    <row r="669" ht="15.75" customHeight="1" s="46">
      <c r="D669" s="22" t="n"/>
    </row>
    <row r="670" ht="15.75" customHeight="1" s="46">
      <c r="D670" s="22" t="n"/>
    </row>
    <row r="671" ht="15.75" customHeight="1" s="46">
      <c r="D671" s="22" t="n"/>
    </row>
    <row r="672" ht="15.75" customHeight="1" s="46">
      <c r="D672" s="22" t="n"/>
    </row>
    <row r="673" ht="15.75" customHeight="1" s="46">
      <c r="D673" s="22" t="n"/>
    </row>
    <row r="674" ht="15.75" customHeight="1" s="46">
      <c r="D674" s="22" t="n"/>
    </row>
    <row r="675" ht="15.75" customHeight="1" s="46">
      <c r="D675" s="22" t="n"/>
    </row>
    <row r="676" ht="15.75" customHeight="1" s="46">
      <c r="D676" s="22" t="n"/>
    </row>
    <row r="677" ht="15.75" customHeight="1" s="46">
      <c r="D677" s="22" t="n"/>
    </row>
    <row r="678" ht="15.75" customHeight="1" s="46">
      <c r="D678" s="22" t="n"/>
    </row>
    <row r="679" ht="15.75" customHeight="1" s="46">
      <c r="D679" s="22" t="n"/>
    </row>
    <row r="680" ht="15.75" customHeight="1" s="46">
      <c r="D680" s="22" t="n"/>
    </row>
    <row r="681" ht="15.75" customHeight="1" s="46">
      <c r="D681" s="22" t="n"/>
    </row>
    <row r="682" ht="15.75" customHeight="1" s="46">
      <c r="D682" s="22" t="n"/>
    </row>
    <row r="683" ht="15.75" customHeight="1" s="46">
      <c r="D683" s="22" t="n"/>
    </row>
    <row r="684" ht="15.75" customHeight="1" s="46">
      <c r="D684" s="22" t="n"/>
    </row>
    <row r="685" ht="15.75" customHeight="1" s="46">
      <c r="D685" s="22" t="n"/>
    </row>
    <row r="686" ht="15.75" customHeight="1" s="46">
      <c r="D686" s="22" t="n"/>
    </row>
    <row r="687" ht="15.75" customHeight="1" s="46">
      <c r="D687" s="22" t="n"/>
    </row>
    <row r="688" ht="15.75" customHeight="1" s="46">
      <c r="D688" s="22" t="n"/>
    </row>
    <row r="689" ht="15.75" customHeight="1" s="46">
      <c r="D689" s="22" t="n"/>
    </row>
    <row r="690" ht="15.75" customHeight="1" s="46">
      <c r="D690" s="22" t="n"/>
    </row>
    <row r="691" ht="15.75" customHeight="1" s="46">
      <c r="D691" s="22" t="n"/>
    </row>
    <row r="692" ht="15.75" customHeight="1" s="46">
      <c r="D692" s="22" t="n"/>
    </row>
    <row r="693" ht="15.75" customHeight="1" s="46">
      <c r="D693" s="22" t="n"/>
    </row>
    <row r="694" ht="15.75" customHeight="1" s="46">
      <c r="D694" s="22" t="n"/>
    </row>
    <row r="695" ht="15.75" customHeight="1" s="46">
      <c r="D695" s="22" t="n"/>
    </row>
    <row r="696" ht="15.75" customHeight="1" s="46">
      <c r="D696" s="22" t="n"/>
    </row>
    <row r="697" ht="15.75" customHeight="1" s="46">
      <c r="D697" s="22" t="n"/>
    </row>
    <row r="698" ht="15.75" customHeight="1" s="46">
      <c r="D698" s="22" t="n"/>
    </row>
    <row r="699" ht="15.75" customHeight="1" s="46">
      <c r="D699" s="22" t="n"/>
    </row>
    <row r="700" ht="15.75" customHeight="1" s="46">
      <c r="D700" s="22" t="n"/>
    </row>
    <row r="701" ht="15.75" customHeight="1" s="46">
      <c r="D701" s="22" t="n"/>
    </row>
    <row r="702" ht="15.75" customHeight="1" s="46">
      <c r="D702" s="22" t="n"/>
    </row>
    <row r="703" ht="15.75" customHeight="1" s="46">
      <c r="D703" s="22" t="n"/>
    </row>
    <row r="704" ht="15.75" customHeight="1" s="46">
      <c r="D704" s="22" t="n"/>
    </row>
    <row r="705" ht="15.75" customHeight="1" s="46">
      <c r="D705" s="22" t="n"/>
    </row>
    <row r="706" ht="15.75" customHeight="1" s="46">
      <c r="D706" s="22" t="n"/>
    </row>
    <row r="707" ht="15.75" customHeight="1" s="46">
      <c r="D707" s="22" t="n"/>
    </row>
    <row r="708" ht="15.75" customHeight="1" s="46">
      <c r="D708" s="22" t="n"/>
    </row>
    <row r="709" ht="15.75" customHeight="1" s="46">
      <c r="D709" s="22" t="n"/>
    </row>
    <row r="710" ht="15.75" customHeight="1" s="46">
      <c r="D710" s="22" t="n"/>
    </row>
    <row r="711" ht="15.75" customHeight="1" s="46">
      <c r="D711" s="22" t="n"/>
    </row>
    <row r="712" ht="15.75" customHeight="1" s="46">
      <c r="D712" s="22" t="n"/>
    </row>
    <row r="713" ht="15.75" customHeight="1" s="46">
      <c r="D713" s="22" t="n"/>
    </row>
    <row r="714" ht="15.75" customHeight="1" s="46">
      <c r="D714" s="22" t="n"/>
    </row>
    <row r="715" ht="15.75" customHeight="1" s="46">
      <c r="D715" s="22" t="n"/>
    </row>
    <row r="716" ht="15.75" customHeight="1" s="46">
      <c r="D716" s="22" t="n"/>
    </row>
    <row r="717" ht="15.75" customHeight="1" s="46">
      <c r="D717" s="22" t="n"/>
    </row>
    <row r="718" ht="15.75" customHeight="1" s="46">
      <c r="D718" s="22" t="n"/>
    </row>
    <row r="719" ht="15.75" customHeight="1" s="46">
      <c r="D719" s="22" t="n"/>
    </row>
    <row r="720" ht="15.75" customHeight="1" s="46">
      <c r="D720" s="22" t="n"/>
    </row>
    <row r="721" ht="15.75" customHeight="1" s="46">
      <c r="D721" s="22" t="n"/>
    </row>
    <row r="722" ht="15.75" customHeight="1" s="46">
      <c r="D722" s="22" t="n"/>
    </row>
    <row r="723" ht="15.75" customHeight="1" s="46">
      <c r="D723" s="22" t="n"/>
    </row>
    <row r="724" ht="15.75" customHeight="1" s="46">
      <c r="D724" s="22" t="n"/>
    </row>
    <row r="725" ht="15.75" customHeight="1" s="46">
      <c r="D725" s="22" t="n"/>
    </row>
    <row r="726" ht="15.75" customHeight="1" s="46">
      <c r="D726" s="22" t="n"/>
    </row>
    <row r="727" ht="15.75" customHeight="1" s="46">
      <c r="D727" s="22" t="n"/>
    </row>
    <row r="728" ht="15.75" customHeight="1" s="46">
      <c r="D728" s="22" t="n"/>
    </row>
    <row r="729" ht="15.75" customHeight="1" s="46">
      <c r="D729" s="22" t="n"/>
    </row>
    <row r="730" ht="15.75" customHeight="1" s="46">
      <c r="D730" s="22" t="n"/>
    </row>
    <row r="731" ht="15.75" customHeight="1" s="46">
      <c r="D731" s="22" t="n"/>
    </row>
    <row r="732" ht="15.75" customHeight="1" s="46">
      <c r="D732" s="22" t="n"/>
    </row>
    <row r="733" ht="15.75" customHeight="1" s="46">
      <c r="D733" s="22" t="n"/>
    </row>
    <row r="734" ht="15.75" customHeight="1" s="46">
      <c r="D734" s="22" t="n"/>
    </row>
    <row r="735" ht="15.75" customHeight="1" s="46">
      <c r="D735" s="22" t="n"/>
    </row>
    <row r="736" ht="15.75" customHeight="1" s="46">
      <c r="D736" s="22" t="n"/>
    </row>
    <row r="737" ht="15.75" customHeight="1" s="46">
      <c r="D737" s="22" t="n"/>
    </row>
    <row r="738" ht="15.75" customHeight="1" s="46">
      <c r="D738" s="22" t="n"/>
    </row>
    <row r="739" ht="15.75" customHeight="1" s="46">
      <c r="D739" s="22" t="n"/>
    </row>
    <row r="740" ht="15.75" customHeight="1" s="46">
      <c r="D740" s="22" t="n"/>
    </row>
    <row r="741" ht="15.75" customHeight="1" s="46">
      <c r="D741" s="22" t="n"/>
    </row>
    <row r="742" ht="15.75" customHeight="1" s="46">
      <c r="D742" s="22" t="n"/>
    </row>
    <row r="743" ht="15.75" customHeight="1" s="46">
      <c r="D743" s="22" t="n"/>
    </row>
    <row r="744" ht="15.75" customHeight="1" s="46">
      <c r="D744" s="22" t="n"/>
    </row>
    <row r="745" ht="15.75" customHeight="1" s="46">
      <c r="D745" s="22" t="n"/>
    </row>
    <row r="746" ht="15.75" customHeight="1" s="46">
      <c r="D746" s="22" t="n"/>
    </row>
    <row r="747" ht="15.75" customHeight="1" s="46">
      <c r="D747" s="22" t="n"/>
    </row>
    <row r="748" ht="15.75" customHeight="1" s="46">
      <c r="D748" s="22" t="n"/>
    </row>
    <row r="749" ht="15.75" customHeight="1" s="46">
      <c r="D749" s="22" t="n"/>
    </row>
    <row r="750" ht="15.75" customHeight="1" s="46">
      <c r="D750" s="22" t="n"/>
    </row>
    <row r="751" ht="15.75" customHeight="1" s="46">
      <c r="D751" s="22" t="n"/>
    </row>
    <row r="752" ht="15.75" customHeight="1" s="46">
      <c r="D752" s="22" t="n"/>
    </row>
    <row r="753" ht="15.75" customHeight="1" s="46">
      <c r="D753" s="22" t="n"/>
    </row>
    <row r="754" ht="15.75" customHeight="1" s="46">
      <c r="D754" s="22" t="n"/>
    </row>
    <row r="755" ht="15.75" customHeight="1" s="46">
      <c r="D755" s="22" t="n"/>
    </row>
    <row r="756" ht="15.75" customHeight="1" s="46">
      <c r="D756" s="22" t="n"/>
    </row>
    <row r="757" ht="15.75" customHeight="1" s="46">
      <c r="D757" s="22" t="n"/>
    </row>
    <row r="758" ht="15.75" customHeight="1" s="46">
      <c r="D758" s="22" t="n"/>
    </row>
    <row r="759" ht="15.75" customHeight="1" s="46">
      <c r="D759" s="22" t="n"/>
    </row>
    <row r="760" ht="15.75" customHeight="1" s="46">
      <c r="D760" s="22" t="n"/>
    </row>
    <row r="761" ht="15.75" customHeight="1" s="46">
      <c r="D761" s="22" t="n"/>
    </row>
    <row r="762" ht="15.75" customHeight="1" s="46">
      <c r="D762" s="22" t="n"/>
    </row>
    <row r="763" ht="15.75" customHeight="1" s="46">
      <c r="D763" s="22" t="n"/>
    </row>
    <row r="764" ht="15.75" customHeight="1" s="46">
      <c r="D764" s="22" t="n"/>
    </row>
    <row r="765" ht="15.75" customHeight="1" s="46">
      <c r="D765" s="22" t="n"/>
    </row>
    <row r="766" ht="15.75" customHeight="1" s="46">
      <c r="D766" s="22" t="n"/>
    </row>
    <row r="767" ht="15.75" customHeight="1" s="46">
      <c r="D767" s="22" t="n"/>
    </row>
    <row r="768" ht="15.75" customHeight="1" s="46">
      <c r="D768" s="22" t="n"/>
    </row>
    <row r="769" ht="15.75" customHeight="1" s="46">
      <c r="D769" s="22" t="n"/>
    </row>
    <row r="770" ht="15.75" customHeight="1" s="46">
      <c r="D770" s="22" t="n"/>
    </row>
    <row r="771" ht="15.75" customHeight="1" s="46">
      <c r="D771" s="22" t="n"/>
    </row>
    <row r="772" ht="15.75" customHeight="1" s="46">
      <c r="D772" s="22" t="n"/>
    </row>
    <row r="773" ht="15.75" customHeight="1" s="46">
      <c r="D773" s="22" t="n"/>
    </row>
    <row r="774" ht="15.75" customHeight="1" s="46">
      <c r="D774" s="22" t="n"/>
    </row>
    <row r="775" ht="15.75" customHeight="1" s="46">
      <c r="D775" s="22" t="n"/>
    </row>
    <row r="776" ht="15.75" customHeight="1" s="46">
      <c r="D776" s="22" t="n"/>
    </row>
    <row r="777" ht="15.75" customHeight="1" s="46">
      <c r="D777" s="22" t="n"/>
    </row>
    <row r="778" ht="15.75" customHeight="1" s="46">
      <c r="D778" s="22" t="n"/>
    </row>
    <row r="779" ht="15.75" customHeight="1" s="46">
      <c r="D779" s="22" t="n"/>
    </row>
    <row r="780" ht="15.75" customHeight="1" s="46">
      <c r="D780" s="22" t="n"/>
    </row>
    <row r="781" ht="15.75" customHeight="1" s="46">
      <c r="D781" s="22" t="n"/>
    </row>
    <row r="782" ht="15.75" customHeight="1" s="46">
      <c r="D782" s="22" t="n"/>
    </row>
    <row r="783" ht="15.75" customHeight="1" s="46">
      <c r="D783" s="22" t="n"/>
    </row>
    <row r="784" ht="15.75" customHeight="1" s="46">
      <c r="D784" s="22" t="n"/>
    </row>
    <row r="785" ht="15.75" customHeight="1" s="46">
      <c r="D785" s="22" t="n"/>
    </row>
    <row r="786" ht="15.75" customHeight="1" s="46">
      <c r="D786" s="22" t="n"/>
    </row>
    <row r="787" ht="15.75" customHeight="1" s="46">
      <c r="D787" s="22" t="n"/>
    </row>
    <row r="788" ht="15.75" customHeight="1" s="46">
      <c r="D788" s="22" t="n"/>
    </row>
    <row r="789" ht="15.75" customHeight="1" s="46">
      <c r="D789" s="22" t="n"/>
    </row>
    <row r="790" ht="15.75" customHeight="1" s="46">
      <c r="D790" s="22" t="n"/>
    </row>
    <row r="791" ht="15.75" customHeight="1" s="46">
      <c r="D791" s="22" t="n"/>
    </row>
    <row r="792" ht="15.75" customHeight="1" s="46">
      <c r="D792" s="22" t="n"/>
    </row>
    <row r="793" ht="15.75" customHeight="1" s="46">
      <c r="D793" s="22" t="n"/>
    </row>
    <row r="794" ht="15.75" customHeight="1" s="46">
      <c r="D794" s="22" t="n"/>
    </row>
    <row r="795" ht="15.75" customHeight="1" s="46">
      <c r="D795" s="22" t="n"/>
    </row>
    <row r="796" ht="15.75" customHeight="1" s="46">
      <c r="D796" s="22" t="n"/>
    </row>
    <row r="797" ht="15.75" customHeight="1" s="46">
      <c r="D797" s="22" t="n"/>
    </row>
    <row r="798" ht="15.75" customHeight="1" s="46">
      <c r="D798" s="22" t="n"/>
    </row>
    <row r="799" ht="15.75" customHeight="1" s="46">
      <c r="D799" s="22" t="n"/>
    </row>
    <row r="800" ht="15.75" customHeight="1" s="46">
      <c r="D800" s="22" t="n"/>
    </row>
    <row r="801" ht="15.75" customHeight="1" s="46">
      <c r="D801" s="22" t="n"/>
    </row>
    <row r="802" ht="15.75" customHeight="1" s="46">
      <c r="D802" s="22" t="n"/>
    </row>
    <row r="803" ht="15.75" customHeight="1" s="46">
      <c r="D803" s="22" t="n"/>
    </row>
    <row r="804" ht="15.75" customHeight="1" s="46">
      <c r="D804" s="22" t="n"/>
    </row>
    <row r="805" ht="15.75" customHeight="1" s="46">
      <c r="D805" s="22" t="n"/>
    </row>
    <row r="806" ht="15.75" customHeight="1" s="46">
      <c r="D806" s="22" t="n"/>
    </row>
    <row r="807" ht="15.75" customHeight="1" s="46">
      <c r="D807" s="22" t="n"/>
    </row>
    <row r="808" ht="15.75" customHeight="1" s="46">
      <c r="D808" s="22" t="n"/>
    </row>
    <row r="809" ht="15.75" customHeight="1" s="46">
      <c r="D809" s="22" t="n"/>
    </row>
    <row r="810" ht="15.75" customHeight="1" s="46">
      <c r="D810" s="22" t="n"/>
    </row>
    <row r="811" ht="15.75" customHeight="1" s="46">
      <c r="D811" s="22" t="n"/>
    </row>
    <row r="812" ht="15.75" customHeight="1" s="46">
      <c r="D812" s="22" t="n"/>
    </row>
    <row r="813" ht="15.75" customHeight="1" s="46">
      <c r="D813" s="22" t="n"/>
    </row>
    <row r="814" ht="15.75" customHeight="1" s="46">
      <c r="D814" s="22" t="n"/>
    </row>
    <row r="815" ht="15.75" customHeight="1" s="46">
      <c r="D815" s="22" t="n"/>
    </row>
    <row r="816" ht="15.75" customHeight="1" s="46">
      <c r="D816" s="22" t="n"/>
    </row>
    <row r="817" ht="15.75" customHeight="1" s="46">
      <c r="D817" s="22" t="n"/>
    </row>
    <row r="818" ht="15.75" customHeight="1" s="46">
      <c r="D818" s="22" t="n"/>
    </row>
    <row r="819" ht="15.75" customHeight="1" s="46">
      <c r="D819" s="22" t="n"/>
    </row>
    <row r="820" ht="15.75" customHeight="1" s="46">
      <c r="D820" s="22" t="n"/>
    </row>
    <row r="821" ht="15.75" customHeight="1" s="46">
      <c r="D821" s="22" t="n"/>
    </row>
    <row r="822" ht="15.75" customHeight="1" s="46">
      <c r="D822" s="22" t="n"/>
    </row>
    <row r="823" ht="15.75" customHeight="1" s="46">
      <c r="D823" s="22" t="n"/>
    </row>
    <row r="824" ht="15.75" customHeight="1" s="46">
      <c r="D824" s="22" t="n"/>
    </row>
    <row r="825" ht="15.75" customHeight="1" s="46">
      <c r="D825" s="22" t="n"/>
    </row>
    <row r="826" ht="15.75" customHeight="1" s="46">
      <c r="D826" s="22" t="n"/>
    </row>
    <row r="827" ht="15.75" customHeight="1" s="46">
      <c r="D827" s="22" t="n"/>
    </row>
    <row r="828" ht="15.75" customHeight="1" s="46">
      <c r="D828" s="22" t="n"/>
    </row>
    <row r="829" ht="15.75" customHeight="1" s="46">
      <c r="D829" s="22" t="n"/>
    </row>
    <row r="830" ht="15.75" customHeight="1" s="46">
      <c r="D830" s="22" t="n"/>
    </row>
    <row r="831" ht="15.75" customHeight="1" s="46">
      <c r="D831" s="22" t="n"/>
    </row>
    <row r="832" ht="15.75" customHeight="1" s="46">
      <c r="D832" s="22" t="n"/>
    </row>
    <row r="833" ht="15.75" customHeight="1" s="46">
      <c r="D833" s="22" t="n"/>
    </row>
    <row r="834" ht="15.75" customHeight="1" s="46">
      <c r="D834" s="22" t="n"/>
    </row>
    <row r="835" ht="15.75" customHeight="1" s="46">
      <c r="D835" s="22" t="n"/>
    </row>
    <row r="836" ht="15.75" customHeight="1" s="46">
      <c r="D836" s="22" t="n"/>
    </row>
    <row r="837" ht="15.75" customHeight="1" s="46">
      <c r="D837" s="22" t="n"/>
    </row>
    <row r="838" ht="15.75" customHeight="1" s="46">
      <c r="D838" s="22" t="n"/>
    </row>
    <row r="839" ht="15.75" customHeight="1" s="46">
      <c r="D839" s="22" t="n"/>
    </row>
    <row r="840" ht="15.75" customHeight="1" s="46">
      <c r="D840" s="22" t="n"/>
    </row>
    <row r="841" ht="15.75" customHeight="1" s="46">
      <c r="D841" s="22" t="n"/>
    </row>
    <row r="842" ht="15.75" customHeight="1" s="46">
      <c r="D842" s="22" t="n"/>
    </row>
    <row r="843" ht="15.75" customHeight="1" s="46">
      <c r="D843" s="22" t="n"/>
    </row>
    <row r="844" ht="15.75" customHeight="1" s="46">
      <c r="D844" s="22" t="n"/>
    </row>
    <row r="845" ht="15.75" customHeight="1" s="46">
      <c r="D845" s="22" t="n"/>
    </row>
    <row r="846" ht="15.75" customHeight="1" s="46">
      <c r="D846" s="22" t="n"/>
    </row>
    <row r="847" ht="15.75" customHeight="1" s="46">
      <c r="D847" s="22" t="n"/>
    </row>
    <row r="848" ht="15.75" customHeight="1" s="46">
      <c r="D848" s="22" t="n"/>
    </row>
    <row r="849" ht="15.75" customHeight="1" s="46">
      <c r="D849" s="22" t="n"/>
    </row>
    <row r="850" ht="15.75" customHeight="1" s="46">
      <c r="D850" s="22" t="n"/>
    </row>
    <row r="851" ht="15.75" customHeight="1" s="46">
      <c r="D851" s="22" t="n"/>
    </row>
    <row r="852" ht="15.75" customHeight="1" s="46">
      <c r="D852" s="22" t="n"/>
    </row>
    <row r="853" ht="15.75" customHeight="1" s="46">
      <c r="D853" s="22" t="n"/>
    </row>
    <row r="854" ht="15.75" customHeight="1" s="46">
      <c r="D854" s="22" t="n"/>
    </row>
    <row r="855" ht="15.75" customHeight="1" s="46">
      <c r="D855" s="22" t="n"/>
    </row>
    <row r="856" ht="15.75" customHeight="1" s="46">
      <c r="D856" s="22" t="n"/>
    </row>
    <row r="857" ht="15.75" customHeight="1" s="46">
      <c r="D857" s="22" t="n"/>
    </row>
    <row r="858" ht="15.75" customHeight="1" s="46">
      <c r="D858" s="22" t="n"/>
    </row>
    <row r="859" ht="15.75" customHeight="1" s="46">
      <c r="D859" s="22" t="n"/>
    </row>
    <row r="860" ht="15.75" customHeight="1" s="46">
      <c r="D860" s="22" t="n"/>
    </row>
    <row r="861" ht="15.75" customHeight="1" s="46">
      <c r="D861" s="22" t="n"/>
    </row>
    <row r="862" ht="15.75" customHeight="1" s="46">
      <c r="D862" s="22" t="n"/>
    </row>
    <row r="863" ht="15.75" customHeight="1" s="46">
      <c r="D863" s="22" t="n"/>
    </row>
    <row r="864" ht="15.75" customHeight="1" s="46">
      <c r="D864" s="22" t="n"/>
    </row>
    <row r="865" ht="15.75" customHeight="1" s="46">
      <c r="D865" s="22" t="n"/>
    </row>
    <row r="866" ht="15.75" customHeight="1" s="46">
      <c r="D866" s="22" t="n"/>
    </row>
    <row r="867" ht="15.75" customHeight="1" s="46">
      <c r="D867" s="22" t="n"/>
    </row>
    <row r="868" ht="15.75" customHeight="1" s="46">
      <c r="D868" s="22" t="n"/>
    </row>
    <row r="869" ht="15.75" customHeight="1" s="46">
      <c r="D869" s="22" t="n"/>
    </row>
    <row r="870" ht="15.75" customHeight="1" s="46">
      <c r="D870" s="22" t="n"/>
    </row>
    <row r="871" ht="15.75" customHeight="1" s="46">
      <c r="D871" s="22" t="n"/>
    </row>
    <row r="872" ht="15.75" customHeight="1" s="46">
      <c r="D872" s="22" t="n"/>
    </row>
    <row r="873" ht="15.75" customHeight="1" s="46">
      <c r="D873" s="22" t="n"/>
    </row>
    <row r="874" ht="15.75" customHeight="1" s="46">
      <c r="D874" s="22" t="n"/>
    </row>
    <row r="875" ht="15.75" customHeight="1" s="46">
      <c r="D875" s="22" t="n"/>
    </row>
    <row r="876" ht="15.75" customHeight="1" s="46">
      <c r="D876" s="22" t="n"/>
    </row>
    <row r="877" ht="15.75" customHeight="1" s="46">
      <c r="D877" s="22" t="n"/>
    </row>
    <row r="878" ht="15.75" customHeight="1" s="46">
      <c r="D878" s="22" t="n"/>
    </row>
    <row r="879" ht="15.75" customHeight="1" s="46">
      <c r="D879" s="22" t="n"/>
    </row>
    <row r="880" ht="15.75" customHeight="1" s="46">
      <c r="D880" s="22" t="n"/>
    </row>
    <row r="881" ht="15.75" customHeight="1" s="46">
      <c r="D881" s="22" t="n"/>
    </row>
    <row r="882" ht="15.75" customHeight="1" s="46">
      <c r="D882" s="22" t="n"/>
    </row>
    <row r="883" ht="15.75" customHeight="1" s="46">
      <c r="D883" s="22" t="n"/>
    </row>
    <row r="884" ht="15.75" customHeight="1" s="46">
      <c r="D884" s="22" t="n"/>
    </row>
    <row r="885" ht="15.75" customHeight="1" s="46">
      <c r="D885" s="22" t="n"/>
    </row>
    <row r="886" ht="15.75" customHeight="1" s="46">
      <c r="D886" s="22" t="n"/>
    </row>
    <row r="887" ht="15.75" customHeight="1" s="46">
      <c r="D887" s="22" t="n"/>
    </row>
    <row r="888" ht="15.75" customHeight="1" s="46">
      <c r="D888" s="22" t="n"/>
    </row>
    <row r="889" ht="15.75" customHeight="1" s="46">
      <c r="D889" s="22" t="n"/>
    </row>
    <row r="890" ht="15.75" customHeight="1" s="46">
      <c r="D890" s="22" t="n"/>
    </row>
    <row r="891" ht="15.75" customHeight="1" s="46">
      <c r="D891" s="22" t="n"/>
    </row>
    <row r="892" ht="15.75" customHeight="1" s="46">
      <c r="D892" s="22" t="n"/>
    </row>
    <row r="893" ht="15.75" customHeight="1" s="46">
      <c r="D893" s="22" t="n"/>
    </row>
    <row r="894" ht="15.75" customHeight="1" s="46">
      <c r="D894" s="22" t="n"/>
    </row>
    <row r="895" ht="15.75" customHeight="1" s="46">
      <c r="D895" s="22" t="n"/>
    </row>
    <row r="896" ht="15.75" customHeight="1" s="46">
      <c r="D896" s="22" t="n"/>
    </row>
    <row r="897" ht="15.75" customHeight="1" s="46">
      <c r="D897" s="22" t="n"/>
    </row>
    <row r="898" ht="15.75" customHeight="1" s="46">
      <c r="D898" s="22" t="n"/>
    </row>
    <row r="899" ht="15.75" customHeight="1" s="46">
      <c r="D899" s="22" t="n"/>
    </row>
    <row r="900" ht="15.75" customHeight="1" s="46">
      <c r="D900" s="22" t="n"/>
    </row>
    <row r="901" ht="15.75" customHeight="1" s="46">
      <c r="D901" s="22" t="n"/>
    </row>
    <row r="902" ht="15.75" customHeight="1" s="46">
      <c r="D902" s="22" t="n"/>
    </row>
    <row r="903" ht="15.75" customHeight="1" s="46">
      <c r="D903" s="22" t="n"/>
    </row>
    <row r="904" ht="15.75" customHeight="1" s="46">
      <c r="D904" s="22" t="n"/>
    </row>
    <row r="905" ht="15.75" customHeight="1" s="46">
      <c r="D905" s="22" t="n"/>
    </row>
    <row r="906" ht="15.75" customHeight="1" s="46">
      <c r="D906" s="22" t="n"/>
    </row>
    <row r="907" ht="15.75" customHeight="1" s="46">
      <c r="D907" s="22" t="n"/>
    </row>
    <row r="908" ht="15.75" customHeight="1" s="46">
      <c r="D908" s="22" t="n"/>
    </row>
    <row r="909" ht="15.75" customHeight="1" s="46">
      <c r="D909" s="22" t="n"/>
    </row>
    <row r="910" ht="15.75" customHeight="1" s="46">
      <c r="D910" s="22" t="n"/>
    </row>
    <row r="911" ht="15.75" customHeight="1" s="46">
      <c r="D911" s="22" t="n"/>
    </row>
    <row r="912" ht="15.75" customHeight="1" s="46">
      <c r="D912" s="22" t="n"/>
    </row>
    <row r="913" ht="15.75" customHeight="1" s="46">
      <c r="D913" s="22" t="n"/>
    </row>
    <row r="914" ht="15.75" customHeight="1" s="46">
      <c r="D914" s="22" t="n"/>
    </row>
    <row r="915" ht="15.75" customHeight="1" s="46">
      <c r="D915" s="22" t="n"/>
    </row>
    <row r="916" ht="15.75" customHeight="1" s="46">
      <c r="D916" s="22" t="n"/>
    </row>
    <row r="917" ht="15.75" customHeight="1" s="46">
      <c r="D917" s="22" t="n"/>
    </row>
    <row r="918" ht="15.75" customHeight="1" s="46">
      <c r="D918" s="22" t="n"/>
    </row>
    <row r="919" ht="15.75" customHeight="1" s="46">
      <c r="D919" s="22" t="n"/>
    </row>
    <row r="920" ht="15.75" customHeight="1" s="46">
      <c r="D920" s="22" t="n"/>
    </row>
    <row r="921" ht="15.75" customHeight="1" s="46">
      <c r="D921" s="22" t="n"/>
    </row>
    <row r="922" ht="15.75" customHeight="1" s="46">
      <c r="D922" s="22" t="n"/>
    </row>
    <row r="923" ht="15.75" customHeight="1" s="46">
      <c r="D923" s="22" t="n"/>
    </row>
    <row r="924" ht="15.75" customHeight="1" s="46">
      <c r="D924" s="22" t="n"/>
    </row>
    <row r="925" ht="15.75" customHeight="1" s="46">
      <c r="D925" s="22" t="n"/>
    </row>
    <row r="926" ht="15.75" customHeight="1" s="46">
      <c r="D926" s="22" t="n"/>
    </row>
    <row r="927" ht="15.75" customHeight="1" s="46">
      <c r="D927" s="22" t="n"/>
    </row>
    <row r="928" ht="15.75" customHeight="1" s="46">
      <c r="D928" s="22" t="n"/>
    </row>
    <row r="929" ht="15.75" customHeight="1" s="46">
      <c r="D929" s="22" t="n"/>
    </row>
    <row r="930" ht="15.75" customHeight="1" s="46">
      <c r="D930" s="22" t="n"/>
    </row>
    <row r="931" ht="15.75" customHeight="1" s="46">
      <c r="D931" s="22" t="n"/>
    </row>
    <row r="932" ht="15.75" customHeight="1" s="46">
      <c r="D932" s="22" t="n"/>
    </row>
    <row r="933" ht="15.75" customHeight="1" s="46">
      <c r="D933" s="22" t="n"/>
    </row>
    <row r="934" ht="15.75" customHeight="1" s="46">
      <c r="D934" s="22" t="n"/>
    </row>
    <row r="935" ht="15.75" customHeight="1" s="46">
      <c r="D935" s="22" t="n"/>
    </row>
    <row r="936" ht="15.75" customHeight="1" s="46">
      <c r="D936" s="22" t="n"/>
    </row>
    <row r="937" ht="15.75" customHeight="1" s="46">
      <c r="D937" s="22" t="n"/>
    </row>
    <row r="938" ht="15.75" customHeight="1" s="46">
      <c r="D938" s="22" t="n"/>
    </row>
    <row r="939" ht="15.75" customHeight="1" s="46">
      <c r="D939" s="22" t="n"/>
    </row>
    <row r="940" ht="15.75" customHeight="1" s="46">
      <c r="D940" s="22" t="n"/>
    </row>
    <row r="941" ht="15.75" customHeight="1" s="46">
      <c r="D941" s="22" t="n"/>
    </row>
    <row r="942" ht="15.75" customHeight="1" s="46">
      <c r="D942" s="22" t="n"/>
    </row>
    <row r="943" ht="15.75" customHeight="1" s="46">
      <c r="D943" s="22" t="n"/>
    </row>
    <row r="944" ht="15.75" customHeight="1" s="46">
      <c r="D944" s="22" t="n"/>
    </row>
    <row r="945" ht="15.75" customHeight="1" s="46">
      <c r="D945" s="22" t="n"/>
    </row>
    <row r="946" ht="15.75" customHeight="1" s="46">
      <c r="D946" s="22" t="n"/>
    </row>
    <row r="947" ht="15.75" customHeight="1" s="46">
      <c r="D947" s="22" t="n"/>
    </row>
    <row r="948" ht="15.75" customHeight="1" s="46">
      <c r="D948" s="22" t="n"/>
    </row>
    <row r="949" ht="15.75" customHeight="1" s="46">
      <c r="D949" s="22" t="n"/>
    </row>
    <row r="950" ht="15.75" customHeight="1" s="46">
      <c r="D950" s="22" t="n"/>
    </row>
    <row r="951" ht="15.75" customHeight="1" s="46">
      <c r="D951" s="22" t="n"/>
    </row>
    <row r="952" ht="15.75" customHeight="1" s="46">
      <c r="D952" s="22" t="n"/>
    </row>
    <row r="953" ht="15.75" customHeight="1" s="46">
      <c r="D953" s="22" t="n"/>
    </row>
    <row r="954" ht="15.75" customHeight="1" s="46">
      <c r="D954" s="22" t="n"/>
    </row>
    <row r="955" ht="15.75" customHeight="1" s="46">
      <c r="D955" s="22" t="n"/>
    </row>
    <row r="956" ht="15.75" customHeight="1" s="46">
      <c r="D956" s="22" t="n"/>
    </row>
    <row r="957" ht="15.75" customHeight="1" s="46">
      <c r="D957" s="22" t="n"/>
    </row>
    <row r="958" ht="15.75" customHeight="1" s="46">
      <c r="D958" s="22" t="n"/>
    </row>
    <row r="959" ht="15.75" customHeight="1" s="46">
      <c r="D959" s="22" t="n"/>
    </row>
    <row r="960" ht="15.75" customHeight="1" s="46">
      <c r="D960" s="22" t="n"/>
    </row>
    <row r="961" ht="15.75" customHeight="1" s="46">
      <c r="D961" s="22" t="n"/>
    </row>
    <row r="962" ht="15.75" customHeight="1" s="46">
      <c r="D962" s="22" t="n"/>
    </row>
    <row r="963" ht="15.75" customHeight="1" s="46">
      <c r="D963" s="22" t="n"/>
    </row>
    <row r="964" ht="15.75" customHeight="1" s="46">
      <c r="D964" s="22" t="n"/>
    </row>
    <row r="965" ht="15.75" customHeight="1" s="46">
      <c r="D965" s="22" t="n"/>
    </row>
    <row r="966" ht="15.75" customHeight="1" s="46">
      <c r="D966" s="22" t="n"/>
    </row>
    <row r="967" ht="15.75" customHeight="1" s="46">
      <c r="D967" s="22" t="n"/>
    </row>
    <row r="968" ht="15.75" customHeight="1" s="46">
      <c r="D968" s="22" t="n"/>
    </row>
    <row r="969" ht="15.75" customHeight="1" s="46">
      <c r="D969" s="22" t="n"/>
    </row>
    <row r="970" ht="15.75" customHeight="1" s="46">
      <c r="D970" s="22" t="n"/>
    </row>
    <row r="971" ht="15.75" customHeight="1" s="46">
      <c r="D971" s="22" t="n"/>
    </row>
    <row r="972" ht="15.75" customHeight="1" s="46">
      <c r="D972" s="22" t="n"/>
    </row>
    <row r="973" ht="15.75" customHeight="1" s="46">
      <c r="D973" s="22" t="n"/>
    </row>
    <row r="974" ht="15.75" customHeight="1" s="46">
      <c r="D974" s="22" t="n"/>
    </row>
    <row r="975" ht="15.75" customHeight="1" s="46">
      <c r="D975" s="22" t="n"/>
    </row>
    <row r="976" ht="15.75" customHeight="1" s="46">
      <c r="D976" s="22" t="n"/>
    </row>
    <row r="977" ht="15.75" customHeight="1" s="46">
      <c r="D977" s="22" t="n"/>
    </row>
    <row r="978" ht="15.75" customHeight="1" s="46">
      <c r="D978" s="22" t="n"/>
    </row>
    <row r="979" ht="15.75" customHeight="1" s="46">
      <c r="D979" s="22" t="n"/>
    </row>
    <row r="980" ht="15.75" customHeight="1" s="46">
      <c r="D980" s="22" t="n"/>
    </row>
    <row r="981" ht="15.75" customHeight="1" s="46">
      <c r="D981" s="22" t="n"/>
    </row>
    <row r="982" ht="15.75" customHeight="1" s="46">
      <c r="D982" s="22" t="n"/>
    </row>
    <row r="983" ht="15.75" customHeight="1" s="46">
      <c r="D983" s="22" t="n"/>
    </row>
    <row r="984" ht="15.75" customHeight="1" s="46">
      <c r="D984" s="22" t="n"/>
    </row>
    <row r="985" ht="15.75" customHeight="1" s="46">
      <c r="D985" s="22" t="n"/>
    </row>
    <row r="986" ht="15.75" customHeight="1" s="46">
      <c r="D986" s="22" t="n"/>
    </row>
    <row r="987" ht="15.75" customHeight="1" s="46">
      <c r="D987" s="22" t="n"/>
    </row>
    <row r="988" ht="15.75" customHeight="1" s="46">
      <c r="D988" s="22" t="n"/>
    </row>
    <row r="989" ht="15.75" customHeight="1" s="46">
      <c r="D989" s="22" t="n"/>
    </row>
    <row r="990" ht="15.75" customHeight="1" s="46">
      <c r="D990" s="22" t="n"/>
    </row>
    <row r="991" ht="15.75" customHeight="1" s="46">
      <c r="D991" s="22" t="n"/>
    </row>
    <row r="992" ht="15.75" customHeight="1" s="46">
      <c r="D992" s="22" t="n"/>
    </row>
    <row r="993" ht="15.75" customHeight="1" s="46">
      <c r="D993" s="22" t="n"/>
    </row>
    <row r="994" ht="15.75" customHeight="1" s="46">
      <c r="D994" s="22" t="n"/>
    </row>
    <row r="995" ht="15.75" customHeight="1" s="46">
      <c r="D995" s="22" t="n"/>
    </row>
    <row r="996" ht="15.75" customHeight="1" s="46">
      <c r="D996" s="22" t="n"/>
    </row>
    <row r="997" ht="15.75" customHeight="1" s="46">
      <c r="D997" s="22" t="n"/>
    </row>
    <row r="998" ht="15.75" customHeight="1" s="46">
      <c r="D998" s="22" t="n"/>
    </row>
    <row r="999" ht="15.75" customHeight="1" s="46">
      <c r="D999" s="22" t="n"/>
    </row>
    <row r="1000" ht="15.75" customHeight="1" s="46">
      <c r="D1000" s="22" t="n"/>
    </row>
    <row r="1001" ht="15.75" customHeight="1" s="46">
      <c r="D1001" s="22" t="n"/>
    </row>
  </sheetData>
  <mergeCells count="1">
    <mergeCell ref="A1:E1"/>
  </mergeCells>
  <dataValidations count="1">
    <dataValidation sqref="E4:E7" showDropDown="1" showInputMessage="0" showErrorMessage="0" allowBlank="1" type="custom">
      <formula1>AND(ISNUMBER(E4),(NOT(OR(NOT(ISERROR(DATEVALUE(E4))), AND(ISNUMBER(E4), LEFT(CELL("format", E4))="D")))))</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ColWidth="14.43" defaultRowHeight="15" customHeight="1"/>
  <cols>
    <col width="28.86" customWidth="1" style="46" min="1" max="1"/>
    <col width="23" customWidth="1" style="46" min="2" max="2"/>
    <col width="19.57" customWidth="1" style="46" min="3" max="3"/>
    <col width="16.86" customWidth="1" style="46" min="4" max="4"/>
    <col width="14.43" customWidth="1" style="46" min="5" max="5"/>
    <col width="11.43" customWidth="1" style="46" min="6" max="6"/>
    <col width="10.71" customWidth="1" style="46" min="7" max="7"/>
    <col width="16.86" customWidth="1" style="46" min="8" max="8"/>
    <col width="24.57" customWidth="1" style="46" min="9" max="9"/>
    <col width="11.71" customWidth="1" style="46" min="10" max="10"/>
    <col width="18" customWidth="1" style="46" min="11" max="11"/>
  </cols>
  <sheetData>
    <row r="1">
      <c r="A1" s="62" t="inlineStr">
        <is>
          <t>ĐƠN HÀNG ĐÃ BÁN CHO KHÁCH</t>
        </is>
      </c>
      <c r="G1" s="4" t="inlineStr">
        <is>
          <t>Sđt</t>
        </is>
      </c>
      <c r="H1" s="4" t="inlineStr">
        <is>
          <t xml:space="preserve">Ngày mua </t>
        </is>
      </c>
    </row>
    <row r="2">
      <c r="A2" s="31" t="n"/>
      <c r="B2" s="31" t="n"/>
      <c r="C2" s="31" t="n"/>
      <c r="D2" s="31" t="n"/>
      <c r="E2" s="31" t="n"/>
      <c r="F2" s="31" t="n"/>
      <c r="G2" s="23" t="n"/>
      <c r="I2" s="4" t="inlineStr">
        <is>
          <t xml:space="preserve">Số điện thoại </t>
        </is>
      </c>
      <c r="J2" s="32" t="n"/>
      <c r="K2" s="33" t="n"/>
    </row>
    <row r="3" ht="22.5" customHeight="1" s="46">
      <c r="A3" s="34" t="inlineStr">
        <is>
          <t>TÊN FB</t>
        </is>
      </c>
      <c r="B3" s="34" t="inlineStr">
        <is>
          <t>SẢN PHẨM</t>
        </is>
      </c>
      <c r="C3" s="34" t="inlineStr">
        <is>
          <t>SỐ ĐIỆN THOẠI</t>
        </is>
      </c>
      <c r="D3" s="34" t="inlineStr">
        <is>
          <t>SỐ TIỀN</t>
        </is>
      </c>
      <c r="E3" s="34" t="inlineStr">
        <is>
          <t>TRẢ</t>
        </is>
      </c>
      <c r="F3" s="34" t="inlineStr">
        <is>
          <t>CÒN</t>
        </is>
      </c>
      <c r="G3" s="23" t="inlineStr">
        <is>
          <t>Chú thích</t>
        </is>
      </c>
      <c r="J3" s="32" t="inlineStr">
        <is>
          <t>Tổng tiền:</t>
        </is>
      </c>
      <c r="K3" s="35">
        <f>SUM(D4:D20001)</f>
        <v/>
      </c>
    </row>
    <row r="4" ht="22.5" customHeight="1" s="46">
      <c r="A4" s="42" t="inlineStr">
        <is>
          <t>TÂM LÊ</t>
        </is>
      </c>
      <c r="B4" s="42" t="inlineStr">
        <is>
          <t>1FIN 12AH</t>
        </is>
      </c>
      <c r="C4" s="43" t="n">
        <v>935694536</v>
      </c>
      <c r="D4" s="40" t="n">
        <v>1200000</v>
      </c>
      <c r="E4" s="40" t="n">
        <v>1200000</v>
      </c>
      <c r="F4" s="38">
        <f>D4-E4</f>
        <v/>
      </c>
      <c r="J4" s="32" t="inlineStr">
        <is>
          <t>Tổng đã thu:</t>
        </is>
      </c>
      <c r="K4" s="39">
        <f>SUM(E4:E20001)</f>
        <v/>
      </c>
    </row>
    <row r="5" ht="22.5" customHeight="1" s="46">
      <c r="A5" s="42" t="inlineStr">
        <is>
          <t>KHOÁ NGUYỄN</t>
        </is>
      </c>
      <c r="B5" s="42" t="inlineStr">
        <is>
          <t>1SAC1FIN7,5AH</t>
        </is>
      </c>
      <c r="C5" s="43" t="n">
        <v>983926939</v>
      </c>
      <c r="D5" s="40" t="n">
        <v>950000</v>
      </c>
      <c r="E5" s="40" t="n">
        <v>950000</v>
      </c>
      <c r="F5" s="38">
        <f>D5-E5</f>
        <v/>
      </c>
      <c r="G5" s="23" t="inlineStr">
        <is>
          <t>Mạch+đóng</t>
        </is>
      </c>
      <c r="J5" s="32" t="inlineStr">
        <is>
          <t>Nợ còn:</t>
        </is>
      </c>
      <c r="K5" s="41">
        <f>SUM(F4:F20001)</f>
        <v/>
      </c>
    </row>
    <row r="6" ht="22.5" customHeight="1" s="46">
      <c r="A6" s="42" t="inlineStr">
        <is>
          <t>HUỲNH KIỀU</t>
        </is>
      </c>
      <c r="B6" s="42" t="inlineStr">
        <is>
          <t>1 ĐÈN NL 300W</t>
        </is>
      </c>
      <c r="C6" s="43" t="n">
        <v>377732140</v>
      </c>
      <c r="D6" s="40" t="n">
        <v>1200000</v>
      </c>
      <c r="E6" s="40" t="n">
        <v>1200000</v>
      </c>
      <c r="F6" s="38">
        <f>D6-E6</f>
        <v/>
      </c>
    </row>
    <row r="7" ht="22.5" customHeight="1" s="46">
      <c r="A7" s="42" t="inlineStr">
        <is>
          <t>NGUYỄN PHƯỚC THIỆN</t>
        </is>
      </c>
      <c r="B7" s="42" t="inlineStr">
        <is>
          <t>1 SẠC DỰ PHÒNG 4CELL</t>
        </is>
      </c>
      <c r="C7" s="43" t="n">
        <v>364909695</v>
      </c>
      <c r="D7" s="40" t="n">
        <v>550000</v>
      </c>
      <c r="E7" s="40" t="n">
        <v>550000</v>
      </c>
      <c r="F7" s="38">
        <f>D7-E7</f>
        <v/>
      </c>
    </row>
    <row r="8" ht="22.5" customHeight="1" s="46">
      <c r="A8" s="42" t="inlineStr">
        <is>
          <t>HÀ LÊ</t>
        </is>
      </c>
      <c r="B8" s="42" t="inlineStr">
        <is>
          <t>1BINH XE MÁY</t>
        </is>
      </c>
      <c r="C8" s="43" t="n">
        <v>987475125</v>
      </c>
      <c r="D8" s="40" t="n">
        <v>600000</v>
      </c>
      <c r="E8" s="40" t="n">
        <v>600000</v>
      </c>
      <c r="F8" s="38">
        <f>D8-E8</f>
        <v/>
      </c>
    </row>
    <row r="9" ht="22.5" customHeight="1" s="46">
      <c r="A9" s="42" t="inlineStr">
        <is>
          <t>Bình lâm Tâm</t>
        </is>
      </c>
      <c r="B9" s="42" t="inlineStr">
        <is>
          <t>Bình 30a</t>
        </is>
      </c>
      <c r="C9" s="43" t="n">
        <v>972947410</v>
      </c>
      <c r="D9" s="40" t="n"/>
      <c r="E9" s="40" t="n"/>
      <c r="F9" s="38">
        <f>D9-E9</f>
        <v/>
      </c>
    </row>
    <row r="10" ht="15" customHeight="1" s="46">
      <c r="A10" s="42" t="inlineStr">
        <is>
          <t>Vĩnh bộ đội</t>
        </is>
      </c>
      <c r="B10" s="42" t="inlineStr">
        <is>
          <t>Bình 45A</t>
        </is>
      </c>
      <c r="C10" s="43" t="n"/>
      <c r="D10" s="40" t="n">
        <v>2300000</v>
      </c>
      <c r="E10" s="40" t="n">
        <v>1700000</v>
      </c>
      <c r="F10" s="38">
        <f>D10-E10</f>
        <v/>
      </c>
    </row>
    <row r="11" ht="22.5" customHeight="1" s="46">
      <c r="A11" s="42" t="inlineStr">
        <is>
          <t>Vương</t>
        </is>
      </c>
      <c r="B11" s="42" t="inlineStr">
        <is>
          <t>Pin 15cell</t>
        </is>
      </c>
      <c r="C11" s="43" t="n"/>
      <c r="D11" s="40" t="n">
        <v>700000</v>
      </c>
      <c r="E11" s="40" t="n">
        <v>700000</v>
      </c>
      <c r="F11" s="38">
        <f>D11-E11</f>
        <v/>
      </c>
    </row>
    <row r="12" ht="22.5" customHeight="1" s="46">
      <c r="A12" s="42" t="inlineStr">
        <is>
          <t>Sang</t>
        </is>
      </c>
      <c r="B12" s="42" t="inlineStr">
        <is>
          <t>Pin15cell-sạc-đèn</t>
        </is>
      </c>
      <c r="C12" s="43" t="n"/>
      <c r="D12" s="40" t="n">
        <v>1000000</v>
      </c>
      <c r="E12" s="40" t="n">
        <v>1000000</v>
      </c>
      <c r="F12" s="38">
        <f>D12-E12</f>
        <v/>
      </c>
    </row>
    <row r="13" ht="22.5" customHeight="1" s="46">
      <c r="A13" s="42" t="inlineStr">
        <is>
          <t>Liên cơ khí</t>
        </is>
      </c>
      <c r="B13" s="42" t="inlineStr">
        <is>
          <t>Đèn</t>
        </is>
      </c>
      <c r="C13" s="43" t="n"/>
      <c r="D13" s="40" t="n">
        <v>250000</v>
      </c>
      <c r="E13" s="40" t="n">
        <v>250000</v>
      </c>
      <c r="F13" s="38">
        <f>D13-E13</f>
        <v/>
      </c>
    </row>
    <row r="14" ht="22.5" customHeight="1" s="46">
      <c r="A14" s="42" t="inlineStr">
        <is>
          <t>Anh Hiệp</t>
        </is>
      </c>
      <c r="B14" s="42" t="inlineStr">
        <is>
          <t>Camera -pin5cell-đèn,sạc</t>
        </is>
      </c>
      <c r="C14" s="43" t="n"/>
      <c r="D14" s="40" t="n">
        <v>650000</v>
      </c>
      <c r="E14" s="40" t="n">
        <v>650000</v>
      </c>
      <c r="F14" s="38">
        <f>D14-E14</f>
        <v/>
      </c>
    </row>
    <row r="15" ht="22.5" customHeight="1" s="46">
      <c r="A15" s="42" t="inlineStr">
        <is>
          <t>Vĩnh bộ đội</t>
        </is>
      </c>
      <c r="B15" s="42" t="inlineStr">
        <is>
          <t>Bình 45ah-pin15cell-máy vít -sạc</t>
        </is>
      </c>
      <c r="C15" s="43" t="n"/>
      <c r="D15" s="40" t="n">
        <v>3830000</v>
      </c>
      <c r="E15" s="40" t="n">
        <v>1600000</v>
      </c>
      <c r="F15" s="38">
        <f>D15-E15</f>
        <v/>
      </c>
    </row>
    <row r="16" ht="22.5" customHeight="1" s="46">
      <c r="A16" s="42" t="inlineStr">
        <is>
          <t>Ut chup,0375064153/12/1/2026</t>
        </is>
      </c>
      <c r="B16" s="42" t="inlineStr">
        <is>
          <t>Bình 45ah</t>
        </is>
      </c>
      <c r="C16" s="43" t="n"/>
      <c r="D16" s="40" t="n">
        <v>2250000</v>
      </c>
      <c r="E16" s="40" t="n">
        <v>2250000</v>
      </c>
      <c r="F16" s="38">
        <f>D16-E16</f>
        <v/>
      </c>
      <c r="G16" s="4" t="n">
        <v>375064152</v>
      </c>
      <c r="H16" s="13" t="n">
        <v>46034</v>
      </c>
    </row>
    <row r="17" ht="22.5" customHeight="1" s="46">
      <c r="A17" s="42" t="inlineStr">
        <is>
          <t>Bi trương</t>
        </is>
      </c>
      <c r="B17" s="42" t="inlineStr">
        <is>
          <t>Sạc tốt 5a</t>
        </is>
      </c>
      <c r="C17" s="43" t="n"/>
      <c r="D17" s="40" t="n">
        <v>150000</v>
      </c>
      <c r="E17" s="40" t="n">
        <v>150000</v>
      </c>
      <c r="F17" s="38">
        <f>D17-E17</f>
        <v/>
      </c>
      <c r="H17" s="13" t="n">
        <v>46039</v>
      </c>
    </row>
    <row r="18" ht="22.5" customHeight="1" s="46">
      <c r="A18" s="42" t="inlineStr">
        <is>
          <t>Phế liệu qs</t>
        </is>
      </c>
      <c r="B18" s="42" t="inlineStr">
        <is>
          <t>Pin15cell,máy bu lông</t>
        </is>
      </c>
      <c r="C18" s="43" t="n"/>
      <c r="D18" s="40" t="n">
        <v>1500000</v>
      </c>
      <c r="E18" s="40" t="n">
        <v>1500000</v>
      </c>
      <c r="F18" s="38">
        <f>D18-E18</f>
        <v/>
      </c>
      <c r="H18" s="16" t="n">
        <v>46045</v>
      </c>
    </row>
    <row r="19" ht="22.5" customHeight="1" s="46">
      <c r="A19" s="42" t="inlineStr">
        <is>
          <t>Phế liệu qs</t>
        </is>
      </c>
      <c r="B19" s="42" t="inlineStr">
        <is>
          <t>Pin 15cell1máy cắt,sạc</t>
        </is>
      </c>
      <c r="C19" s="43" t="n"/>
      <c r="D19" s="40" t="n">
        <v>1300000</v>
      </c>
      <c r="E19" s="40" t="n">
        <v>1300000</v>
      </c>
      <c r="F19" s="38">
        <f>D19-E19</f>
        <v/>
      </c>
      <c r="H19" s="4" t="inlineStr">
        <is>
          <t>37/1/2026</t>
        </is>
      </c>
    </row>
    <row r="20" ht="22.5" customHeight="1" s="46">
      <c r="A20" s="42" t="inlineStr">
        <is>
          <t>Tiên  đoan</t>
        </is>
      </c>
      <c r="B20" s="42" t="inlineStr">
        <is>
          <t xml:space="preserve">Pin10-15cell,sạc </t>
        </is>
      </c>
      <c r="C20" s="43" t="n"/>
      <c r="D20" s="40" t="n">
        <v>1350000</v>
      </c>
      <c r="E20" s="40" t="n">
        <v>1350000</v>
      </c>
      <c r="F20" s="38">
        <f>D20-E20</f>
        <v/>
      </c>
      <c r="H20" s="4" t="inlineStr">
        <is>
          <t>28/012026</t>
        </is>
      </c>
    </row>
    <row r="21" ht="22.5" customHeight="1" s="46">
      <c r="A21" s="42" t="inlineStr">
        <is>
          <t>Khoá</t>
        </is>
      </c>
      <c r="B21" s="42" t="inlineStr">
        <is>
          <t>Sạc dự phòng</t>
        </is>
      </c>
      <c r="C21" s="43" t="n"/>
      <c r="D21" s="40" t="n">
        <v>600000</v>
      </c>
      <c r="E21" s="40" t="n"/>
      <c r="F21" s="38">
        <f>D21-E21</f>
        <v/>
      </c>
      <c r="H21" s="44" t="n">
        <v>46048</v>
      </c>
    </row>
    <row r="22" ht="15.75" customHeight="1" s="46">
      <c r="A22" s="42" t="inlineStr">
        <is>
          <t>Phế liệu qs</t>
        </is>
      </c>
      <c r="B22" s="42" t="inlineStr">
        <is>
          <t>Pin15cell,1 máy buloong</t>
        </is>
      </c>
      <c r="C22" s="43" t="n"/>
      <c r="D22" s="40" t="n">
        <v>1200000</v>
      </c>
      <c r="E22" s="40" t="n">
        <v>1200000</v>
      </c>
      <c r="F22" s="38">
        <f>D22-E22</f>
        <v/>
      </c>
      <c r="H22" s="13" t="n">
        <v>46084</v>
      </c>
    </row>
    <row r="23" ht="15.75" customHeight="1" s="46">
      <c r="A23" s="42" t="inlineStr">
        <is>
          <t>Mẹ Thêu QM</t>
        </is>
      </c>
      <c r="B23" s="42" t="inlineStr">
        <is>
          <t>Đèn NL đĩa bay</t>
        </is>
      </c>
      <c r="C23" s="43" t="n"/>
      <c r="D23" s="40" t="n">
        <v>1500000</v>
      </c>
      <c r="E23" s="40" t="n">
        <v>1500000</v>
      </c>
      <c r="F23" s="38">
        <f>D23-E23</f>
        <v/>
      </c>
      <c r="H23" s="13" t="n">
        <v>46088</v>
      </c>
    </row>
    <row r="24" ht="15.75" customHeight="1" s="46">
      <c r="A24" s="45" t="inlineStr">
        <is>
          <t>Khoá</t>
        </is>
      </c>
      <c r="B24" s="42" t="inlineStr">
        <is>
          <t>Thay mạch 4s</t>
        </is>
      </c>
      <c r="C24" s="43" t="n"/>
      <c r="D24" s="40" t="n">
        <v>80000</v>
      </c>
      <c r="E24" s="40" t="n"/>
      <c r="F24" s="38">
        <f>D24-E24</f>
        <v/>
      </c>
      <c r="H24" s="13" t="n">
        <v>46101</v>
      </c>
    </row>
    <row r="25" ht="15.75" customHeight="1" s="46">
      <c r="A25" s="42" t="inlineStr">
        <is>
          <t>Khoá</t>
        </is>
      </c>
      <c r="B25" s="42" t="inlineStr">
        <is>
          <t>2 pin 15cell+1 sạch nhanh</t>
        </is>
      </c>
      <c r="C25" s="43" t="n"/>
      <c r="D25" s="40" t="n">
        <v>1650000</v>
      </c>
      <c r="E25" s="40" t="n"/>
      <c r="F25" s="38">
        <f>D25-E25</f>
        <v/>
      </c>
      <c r="H25" s="13" t="n">
        <v>46104</v>
      </c>
    </row>
    <row r="26" ht="15.75" customHeight="1" s="46">
      <c r="A26" s="42" t="inlineStr">
        <is>
          <t>Long rèn</t>
        </is>
      </c>
      <c r="B26" s="42" t="inlineStr">
        <is>
          <t xml:space="preserve">Pin áo </t>
        </is>
      </c>
      <c r="C26" s="43" t="n"/>
      <c r="D26" s="40" t="n">
        <v>550000</v>
      </c>
      <c r="E26" s="40" t="n">
        <v>550000</v>
      </c>
      <c r="F26" s="43" t="n"/>
      <c r="H26" s="13" t="n">
        <v>46114</v>
      </c>
    </row>
    <row r="27" ht="15.75" customHeight="1" s="46">
      <c r="A27" s="42" t="inlineStr">
        <is>
          <t>Quốc dinh</t>
        </is>
      </c>
      <c r="B27" s="42" t="inlineStr">
        <is>
          <t>Pin áo,sạc</t>
        </is>
      </c>
      <c r="C27" s="43" t="n"/>
      <c r="D27" s="40" t="n">
        <v>700000</v>
      </c>
      <c r="E27" s="40" t="n">
        <v>700000</v>
      </c>
      <c r="F27" s="38">
        <f>D27-E27</f>
        <v/>
      </c>
      <c r="H27" s="13" t="n">
        <v>46116</v>
      </c>
      <c r="I27" s="4" t="inlineStr">
        <is>
          <t>086 9029139</t>
        </is>
      </c>
    </row>
    <row r="28" ht="15.75" customHeight="1" s="46">
      <c r="A28" s="42" t="inlineStr">
        <is>
          <t>Đội 6 thôn 2</t>
        </is>
      </c>
      <c r="B28" s="42" t="inlineStr">
        <is>
          <t xml:space="preserve">Đèn năng lượng </t>
        </is>
      </c>
      <c r="C28" s="43" t="n"/>
      <c r="D28" s="40" t="n">
        <v>1300000</v>
      </c>
      <c r="E28" s="40" t="n">
        <v>1300000</v>
      </c>
      <c r="F28" s="38">
        <f>D28-E28</f>
        <v/>
      </c>
      <c r="H28" s="16" t="n">
        <v>46119</v>
      </c>
    </row>
    <row r="29" ht="15.75" customHeight="1" s="46">
      <c r="A29" s="42" t="inlineStr">
        <is>
          <t>Thủy hoa t4</t>
        </is>
      </c>
      <c r="B29" s="42" t="inlineStr">
        <is>
          <t>Pin áo 6cell217</t>
        </is>
      </c>
      <c r="C29" s="43" t="n"/>
      <c r="D29" s="40" t="n">
        <v>600000</v>
      </c>
      <c r="E29" s="40" t="n">
        <v>600000</v>
      </c>
      <c r="F29" s="38">
        <f>D29-E29</f>
        <v/>
      </c>
      <c r="H29" s="13" t="n">
        <v>46122</v>
      </c>
    </row>
    <row r="30" ht="15.75" customHeight="1" s="46">
      <c r="A30" s="42" t="inlineStr">
        <is>
          <t>Vợ thày đ15</t>
        </is>
      </c>
      <c r="B30" s="42" t="inlineStr">
        <is>
          <t>Đèn NL,mã</t>
        </is>
      </c>
      <c r="C30" s="43" t="n"/>
      <c r="D30" s="40" t="n">
        <v>1250000</v>
      </c>
      <c r="E30" s="40" t="n">
        <v>1250000</v>
      </c>
      <c r="F30" s="38">
        <f>D30-E30</f>
        <v/>
      </c>
      <c r="H30" s="13" t="n">
        <v>46121</v>
      </c>
      <c r="I30" s="4" t="inlineStr">
        <is>
          <t>039 7504447</t>
        </is>
      </c>
    </row>
    <row r="31" ht="15.75" customHeight="1" s="46">
      <c r="A31" s="42" t="inlineStr">
        <is>
          <t>Khoá</t>
        </is>
      </c>
      <c r="B31" s="42" t="inlineStr">
        <is>
          <t>Sạc 16,8v</t>
        </is>
      </c>
      <c r="C31" s="43" t="n"/>
      <c r="D31" s="40" t="n">
        <v>70000</v>
      </c>
      <c r="E31" s="40" t="n"/>
      <c r="F31" s="38">
        <f>D31-E31</f>
        <v/>
      </c>
      <c r="H31" s="13" t="n">
        <v>46130</v>
      </c>
    </row>
    <row r="32" ht="15.75" customHeight="1" s="46">
      <c r="A32" s="42" t="inlineStr">
        <is>
          <t>Quốc đ15</t>
        </is>
      </c>
      <c r="B32" s="42" t="inlineStr">
        <is>
          <t xml:space="preserve">Pin áo điều hòa </t>
        </is>
      </c>
      <c r="C32" s="43" t="n"/>
      <c r="D32" s="40" t="n">
        <v>470000</v>
      </c>
      <c r="E32" s="40" t="n">
        <v>470000</v>
      </c>
      <c r="F32" s="38">
        <f>D32-E32</f>
        <v/>
      </c>
      <c r="H32" s="13" t="n">
        <v>46130</v>
      </c>
    </row>
    <row r="33" ht="15.75" customHeight="1" s="46">
      <c r="A33" s="42" t="inlineStr">
        <is>
          <t>Vinh bé sâm</t>
        </is>
      </c>
      <c r="B33" s="42" t="inlineStr">
        <is>
          <t xml:space="preserve">Pin áo điều hòa </t>
        </is>
      </c>
      <c r="C33" s="43" t="n"/>
      <c r="D33" s="40" t="n">
        <v>600000</v>
      </c>
      <c r="E33" s="40" t="n">
        <v>600000</v>
      </c>
      <c r="F33" s="38">
        <f>D33-E33</f>
        <v/>
      </c>
      <c r="H33" s="13" t="n">
        <v>46132</v>
      </c>
    </row>
    <row r="34" ht="15.75" customHeight="1" s="46">
      <c r="A34" s="42" t="inlineStr">
        <is>
          <t>Kha đ9</t>
        </is>
      </c>
      <c r="B34" s="42" t="inlineStr">
        <is>
          <t xml:space="preserve">Pin áo điều hòa </t>
        </is>
      </c>
      <c r="C34" s="43" t="n"/>
      <c r="D34" s="40" t="n">
        <v>480000</v>
      </c>
      <c r="E34" s="40" t="n">
        <v>480000</v>
      </c>
      <c r="F34" s="38">
        <f>D34-E34</f>
        <v/>
      </c>
      <c r="H34" s="13" t="n">
        <v>46134</v>
      </c>
    </row>
    <row r="35" ht="15.75" customHeight="1" s="46">
      <c r="A35" s="42" t="inlineStr">
        <is>
          <t>Ngọc t1</t>
        </is>
      </c>
      <c r="B35" s="42" t="inlineStr">
        <is>
          <t xml:space="preserve">Pin áo điều hoà </t>
        </is>
      </c>
      <c r="C35" s="43" t="n"/>
      <c r="D35" s="40" t="n">
        <v>600000</v>
      </c>
      <c r="E35" s="40" t="n"/>
      <c r="F35" s="38">
        <f>D35-E35</f>
        <v/>
      </c>
      <c r="H35" s="13" t="n">
        <v>46136</v>
      </c>
    </row>
    <row r="36" ht="15.75" customHeight="1" s="46">
      <c r="A36" s="42" t="inlineStr">
        <is>
          <t>Lê Tâm</t>
        </is>
      </c>
      <c r="B36" s="42" t="inlineStr">
        <is>
          <t>Pin 20cell</t>
        </is>
      </c>
      <c r="C36" s="43" t="n"/>
      <c r="D36" s="40" t="n">
        <v>1150000</v>
      </c>
      <c r="E36" s="40" t="n">
        <v>1150000</v>
      </c>
      <c r="F36" s="38">
        <f>D36-E36</f>
        <v/>
      </c>
      <c r="H36" s="13" t="n">
        <v>46146</v>
      </c>
    </row>
    <row r="37" ht="15.75" customHeight="1" s="46">
      <c r="A37" s="42" t="inlineStr">
        <is>
          <t xml:space="preserve">Nguyễn phước Thiện </t>
        </is>
      </c>
      <c r="B37" s="42" t="inlineStr">
        <is>
          <t>Bình 12v30ah+quạt 12v</t>
        </is>
      </c>
      <c r="C37" s="43" t="n"/>
      <c r="D37" s="40" t="n">
        <v>2060000</v>
      </c>
      <c r="E37" s="40" t="n">
        <v>2060000</v>
      </c>
      <c r="F37" s="38">
        <f>D37-E37</f>
        <v/>
      </c>
      <c r="H37" s="13" t="n">
        <v>46147</v>
      </c>
    </row>
    <row r="38" ht="15.75" customHeight="1" s="46">
      <c r="A38" s="42" t="inlineStr">
        <is>
          <t xml:space="preserve">Tuấn công an </t>
        </is>
      </c>
      <c r="B38" s="42" t="inlineStr">
        <is>
          <t>1pin 15cell1 xạc</t>
        </is>
      </c>
      <c r="C38" s="43" t="n"/>
      <c r="D38" s="40" t="n"/>
      <c r="E38" s="40" t="n"/>
      <c r="F38" s="38">
        <f>D38-E38</f>
        <v/>
      </c>
    </row>
    <row r="39" ht="15.75" customHeight="1" s="46">
      <c r="A39" s="42" t="inlineStr">
        <is>
          <t xml:space="preserve">Chính xe </t>
        </is>
      </c>
      <c r="B39" s="42" t="inlineStr">
        <is>
          <t>1 pin 15cell</t>
        </is>
      </c>
      <c r="C39" s="43" t="n"/>
      <c r="D39" s="40" t="n"/>
      <c r="E39" s="40" t="n"/>
      <c r="F39" s="38">
        <f>D39-E39</f>
        <v/>
      </c>
    </row>
    <row r="40" ht="15.75" customHeight="1" s="46">
      <c r="A40" s="42" t="inlineStr">
        <is>
          <t>Ánh đội 15</t>
        </is>
      </c>
      <c r="B40" s="42" t="inlineStr">
        <is>
          <t>1 pin 16v</t>
        </is>
      </c>
      <c r="C40" s="43" t="n"/>
      <c r="D40" s="40" t="n"/>
      <c r="E40" s="40" t="n"/>
      <c r="F40" s="38">
        <f>D40-E40</f>
        <v/>
      </c>
    </row>
    <row r="41" ht="15.75" customHeight="1" s="46">
      <c r="A41" s="42" t="inlineStr">
        <is>
          <t xml:space="preserve">Lê một </t>
        </is>
      </c>
      <c r="B41" s="42" t="inlineStr">
        <is>
          <t xml:space="preserve">1 pin áo </t>
        </is>
      </c>
      <c r="C41" s="43" t="n"/>
      <c r="D41" s="40" t="n">
        <v>480000</v>
      </c>
      <c r="E41" s="40" t="n">
        <v>480000</v>
      </c>
      <c r="F41" s="38">
        <f>D41-E41</f>
        <v/>
      </c>
      <c r="H41" s="13" t="n">
        <v>46153</v>
      </c>
    </row>
    <row r="42" ht="15.75" customHeight="1" s="46">
      <c r="A42" s="42" t="inlineStr">
        <is>
          <t>Nghiệp ly</t>
        </is>
      </c>
      <c r="B42" s="42" t="inlineStr">
        <is>
          <t>1 pin 10cell</t>
        </is>
      </c>
      <c r="C42" s="43" t="n"/>
      <c r="D42" s="40" t="n">
        <v>500000</v>
      </c>
      <c r="E42" s="40" t="n">
        <v>500000</v>
      </c>
      <c r="F42" s="38">
        <f>D42-E42</f>
        <v/>
      </c>
      <c r="H42" s="13" t="n">
        <v>46157</v>
      </c>
    </row>
    <row r="43" ht="15.75" customHeight="1" s="46">
      <c r="A43" s="45" t="inlineStr">
        <is>
          <t>5Hiệp</t>
        </is>
      </c>
      <c r="B43" s="42" t="inlineStr">
        <is>
          <t>Máy cắt</t>
        </is>
      </c>
      <c r="C43" s="43" t="n"/>
      <c r="D43" s="40" t="n">
        <v>385000</v>
      </c>
      <c r="E43" s="40" t="n"/>
      <c r="F43" s="38">
        <f>D43-E43</f>
        <v/>
      </c>
      <c r="H43" s="13" t="n">
        <v>46158</v>
      </c>
    </row>
    <row r="44" ht="15.75" customHeight="1" s="46">
      <c r="A44" s="42" t="inlineStr">
        <is>
          <t>Toàn đào</t>
        </is>
      </c>
      <c r="B44" s="42" t="inlineStr">
        <is>
          <t>Máy bulong+pin10cell+sạc</t>
        </is>
      </c>
      <c r="C44" s="43" t="n"/>
      <c r="D44" s="40" t="n">
        <v>820000</v>
      </c>
      <c r="E44" s="40" t="n"/>
      <c r="F44" s="38">
        <f>D44-E44</f>
        <v/>
      </c>
      <c r="H44" s="13" t="n">
        <v>46161</v>
      </c>
    </row>
    <row r="45" ht="15.75" customHeight="1" s="46">
      <c r="A45" s="42" t="n"/>
      <c r="B45" s="42" t="n"/>
      <c r="C45" s="43" t="n"/>
      <c r="D45" s="40" t="n"/>
      <c r="E45" s="40" t="n"/>
      <c r="F45" s="38">
        <f>D45-E45</f>
        <v/>
      </c>
    </row>
    <row r="46" ht="15.75" customHeight="1" s="46">
      <c r="A46" s="42" t="n"/>
      <c r="B46" s="42" t="n"/>
      <c r="C46" s="43" t="n"/>
      <c r="D46" s="40" t="n"/>
      <c r="E46" s="40" t="n"/>
      <c r="F46" s="38">
        <f>D46-E46</f>
        <v/>
      </c>
    </row>
    <row r="47" ht="15.75" customHeight="1" s="46">
      <c r="A47" s="42" t="n"/>
      <c r="B47" s="42" t="n"/>
      <c r="C47" s="43" t="n"/>
      <c r="D47" s="40" t="n"/>
      <c r="E47" s="40" t="n"/>
      <c r="F47" s="38">
        <f>D47-E47</f>
        <v/>
      </c>
    </row>
    <row r="48" ht="15.75" customHeight="1" s="46">
      <c r="A48" s="42" t="n"/>
      <c r="B48" s="42" t="n"/>
      <c r="C48" s="43" t="n"/>
      <c r="D48" s="40" t="n"/>
      <c r="E48" s="40" t="n"/>
      <c r="F48" s="38">
        <f>D48-E48</f>
        <v/>
      </c>
    </row>
    <row r="49" ht="15.75" customHeight="1" s="46">
      <c r="A49" s="42" t="n"/>
      <c r="B49" s="42" t="n"/>
      <c r="C49" s="43" t="n"/>
      <c r="D49" s="40" t="n"/>
      <c r="E49" s="40" t="n"/>
      <c r="F49" s="38">
        <f>D49-E49</f>
        <v/>
      </c>
    </row>
    <row r="50" ht="15.75" customHeight="1" s="46">
      <c r="A50" s="42" t="n"/>
      <c r="B50" s="42" t="n"/>
      <c r="C50" s="43" t="n"/>
      <c r="D50" s="40" t="n"/>
      <c r="E50" s="40" t="n"/>
      <c r="F50" s="38">
        <f>D50-E50</f>
        <v/>
      </c>
    </row>
    <row r="51" ht="15.75" customHeight="1" s="46">
      <c r="A51" s="42" t="n"/>
      <c r="B51" s="42" t="n"/>
      <c r="C51" s="43" t="n"/>
      <c r="D51" s="40" t="n"/>
      <c r="E51" s="40" t="n"/>
      <c r="F51" s="38">
        <f>D51-E51</f>
        <v/>
      </c>
    </row>
    <row r="52" ht="15.75" customHeight="1" s="46"/>
    <row r="53" ht="15.75" customHeight="1" s="46"/>
    <row r="54" ht="15.75" customHeight="1" s="46"/>
    <row r="55" ht="15.75" customHeight="1" s="46"/>
    <row r="56" ht="15.75" customHeight="1" s="46"/>
    <row r="57" ht="15.75" customHeight="1" s="46"/>
    <row r="58" ht="15.75" customHeight="1" s="46"/>
    <row r="59" ht="15.75" customHeight="1" s="46"/>
    <row r="60" ht="15.75" customHeight="1" s="46"/>
    <row r="61" ht="15.75" customHeight="1" s="46"/>
    <row r="62" ht="15.75" customHeight="1" s="46"/>
    <row r="63" ht="15.75" customHeight="1" s="46"/>
    <row r="64" ht="15.75" customHeight="1" s="46"/>
    <row r="65" ht="15.75" customHeight="1" s="46"/>
    <row r="66" ht="15.75" customHeight="1" s="46"/>
    <row r="67" ht="15.75" customHeight="1" s="46"/>
    <row r="68" ht="15.75" customHeight="1" s="46"/>
    <row r="69" ht="15.75" customHeight="1" s="46"/>
    <row r="70" ht="15.75" customHeight="1" s="46"/>
    <row r="71" ht="15.75" customHeight="1" s="46"/>
    <row r="72" ht="15.75" customHeight="1" s="46"/>
    <row r="73" ht="15.75" customHeight="1" s="46"/>
    <row r="74" ht="15.75" customHeight="1" s="46"/>
    <row r="75" ht="15.75" customHeight="1" s="46"/>
    <row r="76" ht="15.75" customHeight="1" s="46"/>
    <row r="77" ht="15.75" customHeight="1" s="46"/>
    <row r="78" ht="15.75" customHeight="1" s="46"/>
    <row r="79" ht="15.75" customHeight="1" s="46"/>
    <row r="80" ht="15.75" customHeight="1" s="46"/>
    <row r="81" ht="15.75" customHeight="1" s="46"/>
    <row r="82" ht="15.75" customHeight="1" s="46"/>
    <row r="83" ht="15.75" customHeight="1" s="46"/>
    <row r="84" ht="15.75" customHeight="1" s="46"/>
    <row r="85" ht="15.75" customHeight="1" s="46"/>
    <row r="86" ht="15.75" customHeight="1" s="46"/>
    <row r="87" ht="15.75" customHeight="1" s="46"/>
    <row r="88" ht="15.75" customHeight="1" s="46"/>
    <row r="89" ht="15.75" customHeight="1" s="46"/>
    <row r="90" ht="15.75" customHeight="1" s="46"/>
    <row r="91" ht="15.75" customHeight="1" s="46"/>
    <row r="92" ht="15.75" customHeight="1" s="46"/>
    <row r="93" ht="15.75" customHeight="1" s="46"/>
    <row r="94" ht="15.75" customHeight="1" s="46"/>
    <row r="95" ht="15.75" customHeight="1" s="46"/>
    <row r="96" ht="15.75" customHeight="1" s="46"/>
    <row r="97" ht="15.75" customHeight="1" s="46"/>
    <row r="98" ht="15.75" customHeight="1" s="46"/>
    <row r="99" ht="15.75" customHeight="1" s="46"/>
    <row r="100" ht="15.75" customHeight="1" s="46"/>
    <row r="101" ht="15.75" customHeight="1" s="46"/>
    <row r="102" ht="15.75" customHeight="1" s="46"/>
    <row r="103" ht="15.75" customHeight="1" s="46"/>
    <row r="104" ht="15.75" customHeight="1" s="46"/>
    <row r="105" ht="15.75" customHeight="1" s="46"/>
    <row r="106" ht="15.75" customHeight="1" s="46"/>
    <row r="107" ht="15.75" customHeight="1" s="46"/>
    <row r="108" ht="15.75" customHeight="1" s="46"/>
    <row r="109" ht="15.75" customHeight="1" s="46"/>
    <row r="110" ht="15.75" customHeight="1" s="46"/>
    <row r="111" ht="15.75" customHeight="1" s="46"/>
    <row r="112" ht="15.75" customHeight="1" s="46"/>
    <row r="113" ht="15.75" customHeight="1" s="46"/>
    <row r="114" ht="15.75" customHeight="1" s="46"/>
    <row r="115" ht="15.75" customHeight="1" s="46"/>
    <row r="116" ht="15.75" customHeight="1" s="46"/>
    <row r="117" ht="15.75" customHeight="1" s="46"/>
    <row r="118" ht="15.75" customHeight="1" s="46"/>
    <row r="119" ht="15.75" customHeight="1" s="46"/>
    <row r="120" ht="15.75" customHeight="1" s="46"/>
    <row r="121" ht="15.75" customHeight="1" s="46"/>
    <row r="122" ht="15.75" customHeight="1" s="46"/>
    <row r="123" ht="15.75" customHeight="1" s="46"/>
    <row r="124" ht="15.75" customHeight="1" s="46"/>
    <row r="125" ht="15.75" customHeight="1" s="46"/>
    <row r="126" ht="15.75" customHeight="1" s="46"/>
    <row r="127" ht="15.75" customHeight="1" s="46"/>
    <row r="128" ht="15.75" customHeight="1" s="46"/>
    <row r="129" ht="15.75" customHeight="1" s="46"/>
    <row r="130" ht="15.75" customHeight="1" s="46"/>
    <row r="131" ht="15.75" customHeight="1" s="46"/>
    <row r="132" ht="15.75" customHeight="1" s="46"/>
    <row r="133" ht="15.75" customHeight="1" s="46"/>
    <row r="134" ht="15.75" customHeight="1" s="46"/>
    <row r="135" ht="15.75" customHeight="1" s="46"/>
    <row r="136" ht="15.75" customHeight="1" s="46"/>
    <row r="137" ht="15.75" customHeight="1" s="46"/>
    <row r="138" ht="15.75" customHeight="1" s="46"/>
    <row r="139" ht="15.75" customHeight="1" s="46"/>
    <row r="140" ht="15.75" customHeight="1" s="46"/>
    <row r="141" ht="15.75" customHeight="1" s="46"/>
    <row r="142" ht="15.75" customHeight="1" s="46"/>
    <row r="143" ht="15.75" customHeight="1" s="46"/>
    <row r="144" ht="15.75" customHeight="1" s="46"/>
    <row r="145" ht="15.75" customHeight="1" s="46"/>
    <row r="146" ht="15.75" customHeight="1" s="46"/>
    <row r="147" ht="15.75" customHeight="1" s="46"/>
    <row r="148" ht="15.75" customHeight="1" s="46"/>
    <row r="149" ht="15.75" customHeight="1" s="46"/>
    <row r="150" ht="15.75" customHeight="1" s="46"/>
    <row r="151" ht="15.75" customHeight="1" s="46"/>
    <row r="152" ht="15.75" customHeight="1" s="46"/>
    <row r="153" ht="15.75" customHeight="1" s="46"/>
    <row r="154" ht="15.75" customHeight="1" s="46"/>
    <row r="155" ht="15.75" customHeight="1" s="46"/>
    <row r="156" ht="15.75" customHeight="1" s="46"/>
    <row r="157" ht="15.75" customHeight="1" s="46"/>
    <row r="158" ht="15.75" customHeight="1" s="46"/>
    <row r="159" ht="15.75" customHeight="1" s="46"/>
    <row r="160" ht="15.75" customHeight="1" s="46"/>
    <row r="161" ht="15.75" customHeight="1" s="46"/>
    <row r="162" ht="15.75" customHeight="1" s="46"/>
    <row r="163" ht="15.75" customHeight="1" s="46"/>
    <row r="164" ht="15.75" customHeight="1" s="46"/>
    <row r="165" ht="15.75" customHeight="1" s="46"/>
    <row r="166" ht="15.75" customHeight="1" s="46"/>
    <row r="167" ht="15.75" customHeight="1" s="46"/>
    <row r="168" ht="15.75" customHeight="1" s="46"/>
    <row r="169" ht="15.75" customHeight="1" s="46"/>
    <row r="170" ht="15.75" customHeight="1" s="46"/>
    <row r="171" ht="15.75" customHeight="1" s="46"/>
    <row r="172" ht="15.75" customHeight="1" s="46"/>
    <row r="173" ht="15.75" customHeight="1" s="46"/>
    <row r="174" ht="15.75" customHeight="1" s="46"/>
    <row r="175" ht="15.75" customHeight="1" s="46"/>
    <row r="176" ht="15.75" customHeight="1" s="46"/>
    <row r="177" ht="15.75" customHeight="1" s="46"/>
    <row r="178" ht="15.75" customHeight="1" s="46"/>
    <row r="179" ht="15.75" customHeight="1" s="46"/>
    <row r="180" ht="15.75" customHeight="1" s="46"/>
    <row r="181" ht="15.75" customHeight="1" s="46"/>
    <row r="182" ht="15.75" customHeight="1" s="46"/>
    <row r="183" ht="15.75" customHeight="1" s="46"/>
    <row r="184" ht="15.75" customHeight="1" s="46"/>
    <row r="185" ht="15.75" customHeight="1" s="46"/>
    <row r="186" ht="15.75" customHeight="1" s="46"/>
    <row r="187" ht="15.75" customHeight="1" s="46"/>
    <row r="188" ht="15.75" customHeight="1" s="46"/>
    <row r="189" ht="15.75" customHeight="1" s="46"/>
    <row r="190" ht="15.75" customHeight="1" s="46"/>
    <row r="191" ht="15.75" customHeight="1" s="46"/>
    <row r="192" ht="15.75" customHeight="1" s="46"/>
    <row r="193" ht="15.75" customHeight="1" s="46"/>
    <row r="194" ht="15.75" customHeight="1" s="46"/>
    <row r="195" ht="15.75" customHeight="1" s="46"/>
    <row r="196" ht="15.75" customHeight="1" s="46"/>
    <row r="197" ht="15.75" customHeight="1" s="46"/>
    <row r="198" ht="15.75" customHeight="1" s="46"/>
    <row r="199" ht="15.75" customHeight="1" s="46"/>
    <row r="200" ht="15.75" customHeight="1" s="46"/>
    <row r="201" ht="15.75" customHeight="1" s="46"/>
    <row r="202" ht="15.75" customHeight="1" s="46"/>
    <row r="203" ht="15.75" customHeight="1" s="46"/>
    <row r="204" ht="15.75" customHeight="1" s="46"/>
    <row r="205" ht="15.75" customHeight="1" s="46"/>
    <row r="206" ht="15.75" customHeight="1" s="46"/>
    <row r="207" ht="15.75" customHeight="1" s="46"/>
    <row r="208" ht="15.75" customHeight="1" s="46"/>
    <row r="209" ht="15.75" customHeight="1" s="46"/>
    <row r="210" ht="15.75" customHeight="1" s="46"/>
    <row r="211" ht="15.75" customHeight="1" s="46"/>
    <row r="212" ht="15.75" customHeight="1" s="46"/>
    <row r="213" ht="15.75" customHeight="1" s="46"/>
    <row r="214" ht="15.75" customHeight="1" s="46"/>
    <row r="215" ht="15.75" customHeight="1" s="46"/>
    <row r="216" ht="15.75" customHeight="1" s="46"/>
    <row r="217" ht="15.75" customHeight="1" s="46"/>
    <row r="218" ht="15.75" customHeight="1" s="46"/>
    <row r="219" ht="15.75" customHeight="1" s="46"/>
    <row r="220" ht="15.75" customHeight="1" s="46"/>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row r="1001" ht="15.75" customHeight="1" s="46"/>
  </sheetData>
  <mergeCells count="1">
    <mergeCell ref="A1:F1"/>
  </mergeCells>
  <dataValidations count="1">
    <dataValidation sqref="D4:E51" showDropDown="1" showInputMessage="0" showErrorMessage="0" allowBlank="1" type="custom">
      <formula1>AND(ISNUMBER(D4),(NOT(OR(NOT(ISERROR(DATEVALUE(D4))), AND(ISNUMBER(D4), LEFT(CELL("format", D4))="D")))))</formula1>
    </dataValidation>
  </dataValidations>
  <pageMargins left="0.7" right="0.7" top="0.75" bottom="0.75" header="0" footer="0"/>
  <pageSetup orientation="landscape"/>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2026-05-26T01:53:48Z</dcterms:created>
  <dcterms:modified xmlns:dcterms="http://purl.org/dc/terms/" xmlns:xsi="http://www.w3.org/2001/XMLSchema-instance" xsi:type="dcterms:W3CDTF">2026-05-26T01:53:49Z</dcterms:modified>
</cp:coreProperties>
</file>